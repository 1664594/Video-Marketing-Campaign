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📊 Executive Dashboard" sheetId="1" r:id="rId5"/>
    <sheet state="visible" name="🎯 Campaign Performance" sheetId="2" r:id="rId6"/>
    <sheet state="visible" name="👥 Cohort &amp; Funnel" sheetId="3" r:id="rId7"/>
    <sheet state="visible" name="🏆 Competitor Benchmarking" sheetId="4" r:id="rId8"/>
    <sheet state="visible" name="📈 Category &amp; Budget Analysis" sheetId="5" r:id="rId9"/>
    <sheet state="visible" name="💡 Recommendations" sheetId="6" r:id="rId10"/>
    <sheet state="visible" name="⚠ LTV &amp; Churn Analysis" sheetId="7" r:id="rId11"/>
  </sheets>
  <definedNames/>
  <calcPr/>
</workbook>
</file>

<file path=xl/sharedStrings.xml><?xml version="1.0" encoding="utf-8"?>
<sst xmlns="http://schemas.openxmlformats.org/spreadsheetml/2006/main" count="502" uniqueCount="328">
  <si>
    <t>YOUTUBE VIDEO PROMOTION PLATFORM  ·  GROWTH ANALYTICS</t>
  </si>
  <si>
    <t>Data Source: Global YouTube Statistics 2023 (Kaggle)  |  Jan 2023 – Apr 2024  |  Analyst: Ishanya, BITS Pilani</t>
  </si>
  <si>
    <t>Total Creators</t>
  </si>
  <si>
    <t>Active Creators</t>
  </si>
  <si>
    <t>Total Campaigns</t>
  </si>
  <si>
    <t>Platform GMV (USD)</t>
  </si>
  <si>
    <t>30</t>
  </si>
  <si>
    <t>24 (80%)</t>
  </si>
  <si>
    <t>34</t>
  </si>
  <si>
    <t>$28,620</t>
  </si>
  <si>
    <t>↑ 12 in Q1 2024</t>
  </si>
  <si>
    <t>6 churned YTD</t>
  </si>
  <si>
    <t>Avg 1.4 per creator</t>
  </si>
  <si>
    <t>↑ 31% QoQ (Q1 2024)</t>
  </si>
  <si>
    <t>Total Views Delivered</t>
  </si>
  <si>
    <t>Subscribers Delivered</t>
  </si>
  <si>
    <t>Blended CPV (per 1K)</t>
  </si>
  <si>
    <t>Avg Activation Time</t>
  </si>
  <si>
    <t>2.1M+</t>
  </si>
  <si>
    <t>31,400+</t>
  </si>
  <si>
    <t>$13.60</t>
  </si>
  <si>
    <t>22 days</t>
  </si>
  <si>
    <t>Across all campaigns</t>
  </si>
  <si>
    <t>Blended CPS: $0.91</t>
  </si>
  <si>
    <t>↓ from $15.80 in H1</t>
  </si>
  <si>
    <t>Signup → 1st campaign</t>
  </si>
  <si>
    <t xml:space="preserve">  Monthly Platform Trends  (Jan 2023 – Apr 2024)</t>
  </si>
  <si>
    <t>Month</t>
  </si>
  <si>
    <t>New Creators</t>
  </si>
  <si>
    <t>Campaigns</t>
  </si>
  <si>
    <t>GMV (USD)</t>
  </si>
  <si>
    <t>Total Views</t>
  </si>
  <si>
    <t>Subscribers</t>
  </si>
  <si>
    <t>Avg CPV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</si>
  <si>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</si>
  <si>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</si>
  <si>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</si>
  <si>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</si>
  <si>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</si>
  <si>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</si>
  <si>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</si>
  <si>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</si>
  <si>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</si>
  <si>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</si>
  <si>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</si>
  <si>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</si>
  <si>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</si>
  <si>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</si>
  <si>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</si>
  <si>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</si>
  <si>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CAMPAIGN PERFORMANCE TRACKER</t>
  </si>
  <si>
    <t>Campaign ID</t>
  </si>
  <si>
    <t>Creator</t>
  </si>
  <si>
    <t>Category</t>
  </si>
  <si>
    <t>Campaign Type</t>
  </si>
  <si>
    <t>Start Date</t>
  </si>
  <si>
    <t>Budget (USD)</t>
  </si>
  <si>
    <t>Total Spend</t>
  </si>
  <si>
    <t>Impressions</t>
  </si>
  <si>
    <t>Views</t>
  </si>
  <si>
    <t>Likes</t>
  </si>
  <si>
    <t>Watch Hours</t>
  </si>
  <si>
    <t>VTR %</t>
  </si>
  <si>
    <t>Sub CVR %</t>
  </si>
  <si>
    <t>CPV ($)</t>
  </si>
  <si>
    <t>ROAS</t>
  </si>
  <si>
    <t>Aarav Mehta</t>
  </si>
  <si>
    <t>Education</t>
  </si>
  <si>
    <t>View</t>
  </si>
  <si>
    <t>10-Feb-23</t>
  </si>
  <si>
    <t>Subscriber</t>
  </si>
  <si>
    <t>01-Apr-23</t>
  </si>
  <si>
    <t>Priya Sharma</t>
  </si>
  <si>
    <t>Lifestyle</t>
  </si>
  <si>
    <t>15-Mar-23</t>
  </si>
  <si>
    <t>Rahul Gupta</t>
  </si>
  <si>
    <t>Gaming</t>
  </si>
  <si>
    <t>Engagement</t>
  </si>
  <si>
    <t>10-Apr-23</t>
  </si>
  <si>
    <t>01-Jul-23</t>
  </si>
  <si>
    <t>Sneha Joshi</t>
  </si>
  <si>
    <t>Finance</t>
  </si>
  <si>
    <t>25-Apr-23</t>
  </si>
  <si>
    <t>01-Sep-23</t>
  </si>
  <si>
    <t>Vikram Singh</t>
  </si>
  <si>
    <t>Travel</t>
  </si>
  <si>
    <t>10-May-23</t>
  </si>
  <si>
    <t>Ananya Iyer</t>
  </si>
  <si>
    <t>Beauty</t>
  </si>
  <si>
    <t>20-May-23</t>
  </si>
  <si>
    <t>Karan Kapoor</t>
  </si>
  <si>
    <t>Tech</t>
  </si>
  <si>
    <t>10-Jun-23</t>
  </si>
  <si>
    <t>01-Oct-23</t>
  </si>
  <si>
    <t>Divya Nair</t>
  </si>
  <si>
    <t>Health</t>
  </si>
  <si>
    <t>25-Jun-23</t>
  </si>
  <si>
    <t>Arjun Reddy</t>
  </si>
  <si>
    <t>15-Jul-23</t>
  </si>
  <si>
    <t>Meera Pillai</t>
  </si>
  <si>
    <t>01-Aug-23</t>
  </si>
  <si>
    <t>Rohit Verma</t>
  </si>
  <si>
    <t>15-Aug-23</t>
  </si>
  <si>
    <t>01-Jan-24</t>
  </si>
  <si>
    <t>Kavya Bhat</t>
  </si>
  <si>
    <t>28-Aug-23</t>
  </si>
  <si>
    <t>Aditya Kumar</t>
  </si>
  <si>
    <t>12-Sep-23</t>
  </si>
  <si>
    <t>Pooja Tiwari</t>
  </si>
  <si>
    <t>25-Sep-23</t>
  </si>
  <si>
    <t>Nikhil Jain</t>
  </si>
  <si>
    <t>08-Oct-23</t>
  </si>
  <si>
    <t>Swati Kulkarni</t>
  </si>
  <si>
    <t>20-Oct-23</t>
  </si>
  <si>
    <t>Dev Chopra</t>
  </si>
  <si>
    <t>05-Nov-23</t>
  </si>
  <si>
    <t>Riya Desai</t>
  </si>
  <si>
    <t>18-Nov-23</t>
  </si>
  <si>
    <t>Nisha Agarwal</t>
  </si>
  <si>
    <t>14-Dec-23</t>
  </si>
  <si>
    <t>Vivek Patil</t>
  </si>
  <si>
    <t>02-Jan-24</t>
  </si>
  <si>
    <t>Shreya Menon</t>
  </si>
  <si>
    <t>10-Jan-24</t>
  </si>
  <si>
    <t>Sanjay Rao</t>
  </si>
  <si>
    <t>22-Jan-24</t>
  </si>
  <si>
    <t>Harish Nambiar</t>
  </si>
  <si>
    <t>18-Feb-24</t>
  </si>
  <si>
    <t>Deepika Choudhary</t>
  </si>
  <si>
    <t>05-Mar-24</t>
  </si>
  <si>
    <t>Kritika Malhotra</t>
  </si>
  <si>
    <t>28-Mar-24</t>
  </si>
  <si>
    <t>Lakshmi Venkat</t>
  </si>
  <si>
    <t>25-Apr-24</t>
  </si>
  <si>
    <t>15-Feb-24</t>
  </si>
  <si>
    <t>10-Mar-24</t>
  </si>
  <si>
    <t>15-Apr-24</t>
  </si>
  <si>
    <t>TOTALS / AVERAGES</t>
  </si>
  <si>
    <t>CREATOR COHORT RETENTION &amp; ACQUISITION FUNNEL</t>
  </si>
  <si>
    <t xml:space="preserve">  ACQUISITION FUNNEL  (Jan 2023 – Apr 2024)</t>
  </si>
  <si>
    <t>Funnel Stage</t>
  </si>
  <si>
    <t>Count</t>
  </si>
  <si>
    <t>% of Signups</t>
  </si>
  <si>
    <t>Drop-off</t>
  </si>
  <si>
    <t>Drop-off %</t>
  </si>
  <si>
    <t>Insight</t>
  </si>
  <si>
    <t>Action</t>
  </si>
  <si>
    <t>1. Signed Up</t>
  </si>
  <si>
    <t>All creators who registered</t>
  </si>
  <si>
    <t>Reduce friction in signup form</t>
  </si>
  <si>
    <t>2. Ran ≥1 Campaign</t>
  </si>
  <si>
    <t>4 never launched a campaign</t>
  </si>
  <si>
    <t>Trigger onboarding nudge at Day 3</t>
  </si>
  <si>
    <t>3. Ran ≥2 Campaigns</t>
  </si>
  <si>
    <t>High 1-and-done rate</t>
  </si>
  <si>
    <t>Post-campaign ROI report to drive repeat</t>
  </si>
  <si>
    <t>4. Upgraded Plan</t>
  </si>
  <si>
    <t>~57% convert to paid tier</t>
  </si>
  <si>
    <t>Offer 20% discount at campaign #2</t>
  </si>
  <si>
    <t>5. Became Agency Tier</t>
  </si>
  <si>
    <t>Power users drive 40%+ of GMV</t>
  </si>
  <si>
    <t>White-glove service for Agency tier</t>
  </si>
  <si>
    <t xml:space="preserve">  MONTHLY COHORT RETENTION  (% of cohort running a campaign)</t>
  </si>
  <si>
    <t>Cohort Month</t>
  </si>
  <si>
    <t>Cohort Size</t>
  </si>
  <si>
    <t>M+1 (%)</t>
  </si>
  <si>
    <t>M+2 (%)</t>
  </si>
  <si>
    <t>M+3 (%)</t>
  </si>
  <si>
    <t>M+6 (%)</t>
  </si>
  <si>
    <t>Retained @6M</t>
  </si>
  <si>
    <t>LTV Est. ($)</t>
  </si>
  <si>
    <t>Risk Flag</t>
  </si>
  <si>
    <t>Jan 2023</t>
  </si>
  <si>
    <t>Feb 2023</t>
  </si>
  <si>
    <t>Mar 2023</t>
  </si>
  <si>
    <t>⚠ Low activation</t>
  </si>
  <si>
    <t>Apr 2023</t>
  </si>
  <si>
    <t>May 2023</t>
  </si>
  <si>
    <t>🔴 At-risk cohort</t>
  </si>
  <si>
    <t>Jun 2023</t>
  </si>
  <si>
    <t>Jul 2023</t>
  </si>
  <si>
    <t>Aug 2023</t>
  </si>
  <si>
    <t>Sep 2023</t>
  </si>
  <si>
    <t>⚠ Declining</t>
  </si>
  <si>
    <t>Oct 2023</t>
  </si>
  <si>
    <t>Nov 2023</t>
  </si>
  <si>
    <t>🔴 All churned</t>
  </si>
  <si>
    <t>Dec 2023</t>
  </si>
  <si>
    <t>🔴 New/unclear</t>
  </si>
  <si>
    <t>Jan 2024</t>
  </si>
  <si>
    <t>Too recent</t>
  </si>
  <si>
    <t>Feb 2024</t>
  </si>
  <si>
    <t>Mar 2024</t>
  </si>
  <si>
    <t>Apr 2024</t>
  </si>
  <si>
    <t>COMPETITIVE BENCHMARKING  ·  Platform vs. Market</t>
  </si>
  <si>
    <t xml:space="preserve">  MARKET SHARE &amp; OVERALL POSITIONING  (Q1 2024 Estimates)</t>
  </si>
  <si>
    <t>Platform</t>
  </si>
  <si>
    <t>Market Share (%)</t>
  </si>
  <si>
    <t>Avg CPM (USD)</t>
  </si>
  <si>
    <t>Avg CTR (%)</t>
  </si>
  <si>
    <t>Avg Sub CVR (%)</t>
  </si>
  <si>
    <t>Avg ROAS</t>
  </si>
  <si>
    <t>Positioning</t>
  </si>
  <si>
    <t>Official Google Partner; strong Education/Gaming</t>
  </si>
  <si>
    <t>TubeBoost</t>
  </si>
  <si>
    <t>Strong in Education; broader global reach</t>
  </si>
  <si>
    <t>VidBooster</t>
  </si>
  <si>
    <t>Premium pricing; strong Tech/Lifestyle focus</t>
  </si>
  <si>
    <t>PromoTube</t>
  </si>
  <si>
    <t>Budget-focused; lower CTR/CVR</t>
  </si>
  <si>
    <t>ViralHQ</t>
  </si>
  <si>
    <t>Highest CPM; best Beauty/Lifestyle rates</t>
  </si>
  <si>
    <t>Others</t>
  </si>
  <si>
    <t>Fragmented long-tail</t>
  </si>
  <si>
    <t xml:space="preserve">  CATEGORY-LEVEL: YOUTUBE PROMOTION PLATFORM vs BEST COMPETITOR  (Jan 2024 Data)</t>
  </si>
  <si>
    <t>Platform CPM</t>
  </si>
  <si>
    <t>Best Comp CPM</t>
  </si>
  <si>
    <t>CPM Advantage</t>
  </si>
  <si>
    <t>Platform CTR%</t>
  </si>
  <si>
    <t>Best Comp CTR%</t>
  </si>
  <si>
    <t>CTR Delta</t>
  </si>
  <si>
    <t>Platform ROAS</t>
  </si>
  <si>
    <t>Best Comp ROAS</t>
  </si>
  <si>
    <t>Position</t>
  </si>
  <si>
    <t>✅ Strong Advantage</t>
  </si>
  <si>
    <t>⚠ Partial Advantage</t>
  </si>
  <si>
    <t>✅ Marginal Advantage</t>
  </si>
  <si>
    <t>⚠ Needs Improvement</t>
  </si>
  <si>
    <t>CONTENT CATEGORY PERFORMANCE  ·  BUDGET OPTIMIZATION</t>
  </si>
  <si>
    <t xml:space="preserve">  CATEGORY PERFORMANCE SUMMARY</t>
  </si>
  <si>
    <t>Total Spend ($)</t>
  </si>
  <si>
    <t>Total Subs</t>
  </si>
  <si>
    <t>CPV ($‰)</t>
  </si>
  <si>
    <t>CPS ($)</t>
  </si>
  <si>
    <t xml:space="preserve">  BUDGET SWEET SPOT ANALYSIS  (Cost Efficiency by Budget Tier)</t>
  </si>
  <si>
    <t>Budget Tier</t>
  </si>
  <si>
    <t>Avg Budget ($)</t>
  </si>
  <si>
    <t>Under $100</t>
  </si>
  <si>
    <t>Low volume; inefficient CPV</t>
  </si>
  <si>
    <t>$100 – $200</t>
  </si>
  <si>
    <t>Acceptable; good for testing</t>
  </si>
  <si>
    <t>$200 – $500</t>
  </si>
  <si>
    <t>✅ Best CPV; sweet spot</t>
  </si>
  <si>
    <t>$500 – $1000</t>
  </si>
  <si>
    <t>Good; marginal returns begin</t>
  </si>
  <si>
    <t>$1000 – $2000</t>
  </si>
  <si>
    <t>Scale efficiency depends on category</t>
  </si>
  <si>
    <t>Above $2000</t>
  </si>
  <si>
    <t>✅ Agency budgets; high absolute ROI</t>
  </si>
  <si>
    <t>STRATEGIC RECOMMENDATIONS  ·  Data-Driven Growth Plan</t>
  </si>
  <si>
    <t xml:space="preserve">  🔴 P1 — CRITICAL  ·  Fix Activation Drop-off (13.3% never launch a campaign)</t>
  </si>
  <si>
    <t>📊 Finding</t>
  </si>
  <si>
    <t>4 of 30 creators (13%) signed up but never launched a campaign. May-23 cohort shows only 25% M+6 retention — worst performing cohort.</t>
  </si>
  <si>
    <t>🎯 Recommended Action</t>
  </si>
  <si>
    <t>Launch an automated onboarding email sequence: Day 1 welcome → Day 3 'Your first campaign in 2 minutes' → Day 7 bonus credits for first launch. Set 7-day activation as core KPI.</t>
  </si>
  <si>
    <t>💰 Expected Impact</t>
  </si>
  <si>
    <t>+8-10% new creator activation rate → ~2-3 more active creators per 30 signups → ~$300-450 additional monthly GMV</t>
  </si>
  <si>
    <t>⚡ Effort</t>
  </si>
  <si>
    <t>Low — email automation setup, 1 week</t>
  </si>
  <si>
    <t xml:space="preserve">  🔴 P1 — CRITICAL  ·  Reduce 1-and-Done Campaigns (53.8% of active creators run only 1 campaign)</t>
  </si>
  <si>
    <t>Only 14/26 active creators (53.8%) ran a second campaign. Post-campaign engagement drops sharply — creators don't see the path to sustained growth.</t>
  </si>
  <si>
    <t>Automatically generate and email a post-campaign ROI report within 24 hours of campaign end. Include: views gained, subscribers added, estimated channel value uplift. Show 'What running Campaign #2 would look like'.</t>
  </si>
  <si>
    <t>+15% repeat campaign rate → 4-5 more repeat campaigns per cycle → ~$800-1,200 incremental GMV/month</t>
  </si>
  <si>
    <t>Medium — data pipeline + report template, 2-3 weeks</t>
  </si>
  <si>
    <t xml:space="preserve">  🟡 P2 — HIGH  ·  Target Gaming &amp; Education Creators for Scale (Best ROAS categories)</t>
  </si>
  <si>
    <t>Gaming campaigns deliver CPV of $11.31/1K views — 5x better than Health ($60.59). Education shows best subscriber CVR (2.70%) and ROAS 4.60x. These two categories represent disproportionate platform value.</t>
  </si>
  <si>
    <t>Create dedicated 'Gaming Growth Pack' and 'Education Creator Pack' with pre-set targeting, budgets, and benchmarks. Run performance-based ads on YouTube/Instagram to attract creators in these categories.</t>
  </si>
  <si>
    <t>+20% new creator growth in top-ROI categories; projected 25% GMV uplift from category mix improvement</t>
  </si>
  <si>
    <t>Medium — product bundling + marketing, 3-4 weeks</t>
  </si>
  <si>
    <t xml:space="preserve">  🟡 P2 — HIGH  ·  Capitalize on $200–$500 Budget Sweet Spot</t>
  </si>
  <si>
    <t>SQL analysis shows $200–$500 campaigns deliver the best CPV ($14.20/1K) among all budget tiers. Yet many creators are either under-spending (&lt;$100, CPV $62.50) or missing the sweet spot.</t>
  </si>
  <si>
    <t>At campaign creation, show a 'Recommended Budget' nudge defaulting to $250 with a tooltip: 'Creators spending $200-$500 see 4x better cost-per-view'. A/B test this against current flow.</t>
  </si>
  <si>
    <t>+18% average campaign budget → +$120-150 GMV per new campaign created</t>
  </si>
  <si>
    <t>Low — UI nudge change, 1 week</t>
  </si>
  <si>
    <t xml:space="preserve">  🟢 P3 — MEDIUM  ·  Close the Beauty &amp; Travel CTR Gap vs Competitors</t>
  </si>
  <si>
    <t>Platform's Beauty CTR is 10.20% vs ViralHQ's 10.50%; Travel CTR is 8.60% vs competitor's 8.90%. Small gaps but these categories are growing in India (22% YoY).</t>
  </si>
  <si>
    <t>Partner with 3-5 Beauty/Travel micro-influencers as 'platform ambassadors'. Offer them free credits in exchange for case study creation. Use their content for social proof in acquisition campaigns.</t>
  </si>
  <si>
    <t>Close CTR gap; add 4-6 Beauty/Travel creators in next quarter; est. $600-800 GMV</t>
  </si>
  <si>
    <t>Medium — partnership outreach, 4-6 weeks</t>
  </si>
  <si>
    <t xml:space="preserve">  🟢 P3 — MEDIUM  ·  Build an Agency Tier VIP Program (Top 20% drive 40%+ GMV)</t>
  </si>
  <si>
    <t>Pareto analysis shows top 5 Agency-tier creators (Karan Kapoor, Rohit Verma, Rahul Gupta, Vivek Patil, Deepika Choudhary) drive disproportionate GMV. These accounts are also at risk if a competitor offers better rates.</t>
  </si>
  <si>
    <t>Assign dedicated account managers to Agency-tier creators. Offer quarterly business reviews, early access to new targeting features, and volume discounts. Create an NPS survey to track satisfaction.</t>
  </si>
  <si>
    <t>Prevent churn of top 5 accounts = protect ~$9,300/month in GMV. Upsell opportunity: +$200-400 incremental per account</t>
  </si>
  <si>
    <t>Low-Medium — internal process, 2 weeks</t>
  </si>
  <si>
    <t>LTV BY PLAN TIER  ·  CHURN RISK SIGNALS</t>
  </si>
  <si>
    <t xml:space="preserve">  ESTIMATED LTV BY PLAN TIER</t>
  </si>
  <si>
    <t>Plan Tier</t>
  </si>
  <si>
    <t>Creator Count</t>
  </si>
  <si>
    <t>Avg MRR (USD)</t>
  </si>
  <si>
    <t>Avg Tenure (Months)</t>
  </si>
  <si>
    <t>Estimated LTV (USD)</t>
  </si>
  <si>
    <t>Annualised ARPU</t>
  </si>
  <si>
    <t>Churn Rate %</t>
  </si>
  <si>
    <t>Priority</t>
  </si>
  <si>
    <t>Agency</t>
  </si>
  <si>
    <t>🌟 Top Priority</t>
  </si>
  <si>
    <t>Pro</t>
  </si>
  <si>
    <t>High Value</t>
  </si>
  <si>
    <t>Starter</t>
  </si>
  <si>
    <t>Growth Segment</t>
  </si>
  <si>
    <t>Free</t>
  </si>
  <si>
    <t>Conversion Target</t>
  </si>
  <si>
    <t xml:space="preserve">  CREATOR CHURN RISK SIGNALS  (Active Creators Only)</t>
  </si>
  <si>
    <t>Plan</t>
  </si>
  <si>
    <t>MRR ($)</t>
  </si>
  <si>
    <t>Days Since Last Campaign</t>
  </si>
  <si>
    <t>View Trend</t>
  </si>
  <si>
    <t>Campaigns Run</t>
  </si>
  <si>
    <t>Churn Risk</t>
  </si>
  <si>
    <t>Recommended Action</t>
  </si>
  <si>
    <t>Declining</t>
  </si>
  <si>
    <t>🔴 HIGH</t>
  </si>
  <si>
    <t>Offer first campaign incentive</t>
  </si>
  <si>
    <t>Post-campaign ROI nudge</t>
  </si>
  <si>
    <t>Stable</t>
  </si>
  <si>
    <t>🟡 MEDIUM</t>
  </si>
  <si>
    <t>Retargeting email at Day 60</t>
  </si>
  <si>
    <t>Budget upsell to $250+</t>
  </si>
  <si>
    <t>Showcase 2nd campaign uplift</t>
  </si>
  <si>
    <t>Education category promo</t>
  </si>
  <si>
    <t>Health pack promotion</t>
  </si>
  <si>
    <t>Offer subscriber campaign</t>
  </si>
  <si>
    <t>Tanvi Shah</t>
  </si>
  <si>
    <t>Beauty ambassador offer</t>
  </si>
  <si>
    <t>🟢 LOW</t>
  </si>
  <si>
    <t>Monitor</t>
  </si>
  <si>
    <t>Nurture — VIP account</t>
  </si>
  <si>
    <t>Upsell Q2 campaign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</si>
</sst>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\$#,##0"/>
    <numFmt numFmtId="165" formatCode="\$#,##0.00"/>
    <numFmt numFmtId="166" formatCode="#,##0.0"/>
    <numFmt numFmtId="167" formatCode="\$#,##0.000"/>
    <numFmt numFmtId="168" formatCode="0.00\x"/>
    <numFmt numFmtId="169" formatCode="0.0\%"/>
    <numFmt numFmtId="170" formatCode="0.00\%"/>
  </numFmts>
  <fonts count="19">
    <font>
      <sz val="11.0"/>
      <color theme="1"/>
      <name val="Calibri"/>
      <scheme val="minor"/>
    </font>
    <font>
      <b/>
      <sz val="20.0"/>
      <color rgb="FFFFFFFF"/>
      <name val="Arial"/>
    </font>
    <font/>
    <font>
      <i/>
      <sz val="11.0"/>
      <color rgb="FF5D6D7E"/>
      <name val="Arial"/>
    </font>
    <font>
      <sz val="11.0"/>
      <color theme="1"/>
      <name val="Calibri"/>
    </font>
    <font>
      <sz val="9.0"/>
      <color rgb="FF5D6D7E"/>
      <name val="Arial"/>
    </font>
    <font>
      <b/>
      <sz val="18.0"/>
      <color rgb="FF1A1A2E"/>
      <name val="Arial"/>
    </font>
    <font>
      <i/>
      <sz val="8.0"/>
      <color rgb="FF27AE60"/>
      <name val="Arial"/>
    </font>
    <font>
      <i/>
      <sz val="8.0"/>
      <color rgb="FF5D6D7E"/>
      <name val="Arial"/>
    </font>
    <font>
      <b/>
      <sz val="11.0"/>
      <color rgb="FFFFFFFF"/>
      <name val="Arial"/>
    </font>
    <font>
      <b/>
      <sz val="9.0"/>
      <color rgb="FFFFFFFF"/>
      <name val="Arial"/>
    </font>
    <font>
      <sz val="9.0"/>
      <color rgb="FF1A1A2E"/>
      <name val="Arial"/>
    </font>
    <font>
      <b/>
      <sz val="16.0"/>
      <color rgb="FFFFFFFF"/>
      <name val="Arial"/>
    </font>
    <font>
      <b/>
      <sz val="9.0"/>
      <color rgb="FF1A1A2E"/>
      <name val="Arial"/>
    </font>
    <font>
      <color theme="1"/>
      <name val="Calibri"/>
      <scheme val="minor"/>
    </font>
    <font>
      <b/>
      <sz val="9.0"/>
      <color rgb="FFE74C3C"/>
      <name val="Arial"/>
    </font>
    <font>
      <b/>
      <sz val="9.0"/>
      <color rgb="FF27AE60"/>
      <name val="Arial"/>
    </font>
    <font>
      <b/>
      <sz val="18.0"/>
      <color rgb="FFFFFFFF"/>
      <name val="Arial"/>
    </font>
    <font>
      <b/>
      <sz val="12.0"/>
      <color rgb="FFFFFFFF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1A2E4A"/>
        <bgColor rgb="FF1A2E4A"/>
      </patternFill>
    </fill>
    <fill>
      <patternFill patternType="solid">
        <fgColor rgb="FFF5F7FA"/>
        <bgColor rgb="FFF5F7FA"/>
      </patternFill>
    </fill>
    <fill>
      <patternFill patternType="solid">
        <fgColor rgb="FF17A3A0"/>
        <bgColor rgb="FF17A3A0"/>
      </patternFill>
    </fill>
    <fill>
      <patternFill patternType="solid">
        <fgColor rgb="FFF4A621"/>
        <bgColor rgb="FFF4A621"/>
      </patternFill>
    </fill>
    <fill>
      <patternFill patternType="solid">
        <fgColor rgb="FF2C4A6E"/>
        <bgColor rgb="FF2C4A6E"/>
      </patternFill>
    </fill>
    <fill>
      <patternFill patternType="solid">
        <fgColor rgb="FF27AE60"/>
        <bgColor rgb="FF27AE60"/>
      </patternFill>
    </fill>
    <fill>
      <patternFill patternType="solid">
        <fgColor rgb="FFFFFFFF"/>
        <bgColor rgb="FFFFFFFF"/>
      </patternFill>
    </fill>
    <fill>
      <patternFill patternType="solid">
        <fgColor rgb="FFEBF5FB"/>
        <bgColor rgb="FFEBF5FB"/>
      </patternFill>
    </fill>
    <fill>
      <patternFill patternType="solid">
        <fgColor rgb="FFF9EBEA"/>
        <bgColor rgb="FFF9EBEA"/>
      </patternFill>
    </fill>
    <fill>
      <patternFill patternType="solid">
        <fgColor rgb="FFEAF4F4"/>
        <bgColor rgb="FFEAF4F4"/>
      </patternFill>
    </fill>
    <fill>
      <patternFill patternType="solid">
        <fgColor rgb="FFFEF9E7"/>
        <bgColor rgb="FFFEF9E7"/>
      </patternFill>
    </fill>
    <fill>
      <patternFill patternType="solid">
        <fgColor rgb="FFFFFFF0"/>
        <bgColor rgb="FFFFFFF0"/>
      </patternFill>
    </fill>
    <fill>
      <patternFill patternType="solid">
        <fgColor rgb="FFFFF0F5"/>
        <bgColor rgb="FFFFF0F5"/>
      </patternFill>
    </fill>
    <fill>
      <patternFill patternType="solid">
        <fgColor rgb="FFE8F8F5"/>
        <bgColor rgb="FFE8F8F5"/>
      </patternFill>
    </fill>
    <fill>
      <patternFill patternType="solid">
        <fgColor rgb="FFF0FFF4"/>
        <bgColor rgb="FFF0FFF4"/>
      </patternFill>
    </fill>
    <fill>
      <patternFill patternType="solid">
        <fgColor rgb="FFE74C3C"/>
        <bgColor rgb="FFE74C3C"/>
      </patternFill>
    </fill>
    <fill>
      <patternFill patternType="solid">
        <fgColor rgb="FFE8F5E9"/>
        <bgColor rgb="FFE8F5E9"/>
      </patternFill>
    </fill>
    <fill>
      <patternFill patternType="solid">
        <fgColor rgb="FFFDECEA"/>
        <bgColor rgb="FFFDECEA"/>
      </patternFill>
    </fill>
    <fill>
      <patternFill patternType="solid">
        <fgColor rgb="FFFFFDE7"/>
        <bgColor rgb="FFFFFDE7"/>
      </patternFill>
    </fill>
  </fills>
  <borders count="22"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D6DCE4"/>
      </left>
      <top/>
      <bottom/>
    </border>
    <border>
      <right style="thin">
        <color rgb="FFD6DCE4"/>
      </right>
      <top/>
      <bottom/>
    </border>
    <border>
      <left style="thin">
        <color rgb="FFD6DCE4"/>
      </left>
      <right/>
      <top/>
      <bottom style="thin">
        <color rgb="FFD6DCE4"/>
      </bottom>
    </border>
    <border>
      <left/>
      <right/>
      <top/>
      <bottom style="thin">
        <color rgb="FFD6DCE4"/>
      </bottom>
    </border>
    <border>
      <left/>
      <right style="thin">
        <color rgb="FFD6DCE4"/>
      </right>
      <top/>
      <bottom style="thin">
        <color rgb="FFD6DCE4"/>
      </bottom>
    </border>
    <border>
      <left/>
      <right/>
      <top/>
      <bottom/>
    </border>
    <border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</border>
    <border>
      <left style="thin">
        <color rgb="FFD6DCE4"/>
      </left>
      <top style="thin">
        <color rgb="FFD6DCE4"/>
      </top>
      <bottom style="thin">
        <color rgb="FFD6DCE4"/>
      </bottom>
    </border>
    <border>
      <right/>
      <top style="thin">
        <color rgb="FFD6DCE4"/>
      </top>
      <bottom style="thin">
        <color rgb="FFD6DCE4"/>
      </bottom>
    </border>
    <border>
      <top style="thin">
        <color rgb="FFD6DCE4"/>
      </top>
      <bottom style="thin">
        <color rgb="FFD6DCE4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3" fontId="3" numFmtId="0" xfId="0" applyAlignment="1" applyBorder="1" applyFill="1" applyFont="1">
      <alignment horizontal="center" shrinkToFit="0" vertical="center" wrapText="0"/>
    </xf>
    <xf borderId="10" fillId="0" fontId="2" numFmtId="0" xfId="0" applyBorder="1" applyFont="1"/>
    <xf borderId="11" fillId="0" fontId="2" numFmtId="0" xfId="0" applyBorder="1" applyFont="1"/>
    <xf borderId="12" fillId="4" fontId="4" numFmtId="0" xfId="0" applyAlignment="1" applyBorder="1" applyFill="1" applyFont="1">
      <alignment shrinkToFit="0" vertical="bottom" wrapText="0"/>
    </xf>
    <xf borderId="13" fillId="0" fontId="2" numFmtId="0" xfId="0" applyBorder="1" applyFont="1"/>
    <xf borderId="12" fillId="5" fontId="4" numFmtId="0" xfId="0" applyAlignment="1" applyBorder="1" applyFill="1" applyFont="1">
      <alignment shrinkToFit="0" vertical="bottom" wrapText="0"/>
    </xf>
    <xf borderId="12" fillId="6" fontId="4" numFmtId="0" xfId="0" applyAlignment="1" applyBorder="1" applyFill="1" applyFont="1">
      <alignment shrinkToFit="0" vertical="bottom" wrapText="0"/>
    </xf>
    <xf borderId="12" fillId="7" fontId="4" numFmtId="0" xfId="0" applyAlignment="1" applyBorder="1" applyFill="1" applyFont="1">
      <alignment shrinkToFit="0" vertical="bottom" wrapText="0"/>
    </xf>
    <xf borderId="12" fillId="8" fontId="5" numFmtId="0" xfId="0" applyAlignment="1" applyBorder="1" applyFill="1" applyFont="1">
      <alignment horizontal="center" shrinkToFit="0" vertical="center" wrapText="0"/>
    </xf>
    <xf borderId="12" fillId="8" fontId="6" numFmtId="0" xfId="0" applyAlignment="1" applyBorder="1" applyFont="1">
      <alignment horizontal="center" shrinkToFit="0" vertical="center" wrapText="0"/>
    </xf>
    <xf borderId="12" fillId="8" fontId="7" numFmtId="0" xfId="0" applyAlignment="1" applyBorder="1" applyFont="1">
      <alignment horizontal="center" shrinkToFit="0" vertical="center" wrapText="0"/>
    </xf>
    <xf borderId="12" fillId="8" fontId="8" numFmtId="0" xfId="0" applyAlignment="1" applyBorder="1" applyFont="1">
      <alignment horizontal="center" shrinkToFit="0" vertical="center" wrapText="0"/>
    </xf>
    <xf borderId="14" fillId="8" fontId="4" numFmtId="0" xfId="0" applyAlignment="1" applyBorder="1" applyFont="1">
      <alignment shrinkToFit="0" vertical="bottom" wrapText="0"/>
    </xf>
    <xf borderId="15" fillId="8" fontId="4" numFmtId="0" xfId="0" applyAlignment="1" applyBorder="1" applyFont="1">
      <alignment shrinkToFit="0" vertical="bottom" wrapText="0"/>
    </xf>
    <xf borderId="16" fillId="8" fontId="4" numFmtId="0" xfId="0" applyAlignment="1" applyBorder="1" applyFont="1">
      <alignment shrinkToFit="0" vertical="bottom" wrapText="0"/>
    </xf>
    <xf borderId="17" fillId="2" fontId="9" numFmtId="0" xfId="0" applyAlignment="1" applyBorder="1" applyFont="1">
      <alignment horizontal="left" shrinkToFit="0" vertical="center" wrapText="0"/>
    </xf>
    <xf borderId="17" fillId="2" fontId="4" numFmtId="0" xfId="0" applyAlignment="1" applyBorder="1" applyFont="1">
      <alignment shrinkToFit="0" vertical="bottom" wrapText="0"/>
    </xf>
    <xf borderId="18" fillId="6" fontId="10" numFmtId="0" xfId="0" applyAlignment="1" applyBorder="1" applyFont="1">
      <alignment horizontal="center" shrinkToFit="0" vertical="center" wrapText="0"/>
    </xf>
    <xf borderId="18" fillId="8" fontId="11" numFmtId="0" xfId="0" applyAlignment="1" applyBorder="1" applyFont="1">
      <alignment horizontal="center" shrinkToFit="0" vertical="center" wrapText="0"/>
    </xf>
    <xf borderId="18" fillId="8" fontId="11" numFmtId="164" xfId="0" applyAlignment="1" applyBorder="1" applyFont="1" applyNumberFormat="1">
      <alignment horizontal="center" shrinkToFit="0" vertical="center" wrapText="0"/>
    </xf>
    <xf borderId="18" fillId="8" fontId="11" numFmtId="165" xfId="0" applyAlignment="1" applyBorder="1" applyFont="1" applyNumberFormat="1">
      <alignment horizontal="center" shrinkToFit="0" vertical="center" wrapText="0"/>
    </xf>
    <xf borderId="18" fillId="3" fontId="11" numFmtId="0" xfId="0" applyAlignment="1" applyBorder="1" applyFont="1">
      <alignment horizontal="center" shrinkToFit="0" vertical="center" wrapText="0"/>
    </xf>
    <xf borderId="18" fillId="3" fontId="11" numFmtId="164" xfId="0" applyAlignment="1" applyBorder="1" applyFont="1" applyNumberFormat="1">
      <alignment horizontal="center" shrinkToFit="0" vertical="center" wrapText="0"/>
    </xf>
    <xf borderId="18" fillId="3" fontId="11" numFmtId="165" xfId="0" applyAlignment="1" applyBorder="1" applyFont="1" applyNumberFormat="1">
      <alignment horizontal="center" shrinkToFit="0" vertical="center" wrapText="0"/>
    </xf>
    <xf borderId="1" fillId="4" fontId="12" numFmtId="0" xfId="0" applyAlignment="1" applyBorder="1" applyFont="1">
      <alignment horizontal="center" shrinkToFit="0" vertical="center" wrapText="0"/>
    </xf>
    <xf borderId="18" fillId="2" fontId="10" numFmtId="0" xfId="0" applyAlignment="1" applyBorder="1" applyFont="1">
      <alignment horizontal="center" shrinkToFit="0" vertical="center" wrapText="1"/>
    </xf>
    <xf borderId="18" fillId="9" fontId="11" numFmtId="0" xfId="0" applyAlignment="1" applyBorder="1" applyFill="1" applyFont="1">
      <alignment horizontal="center" shrinkToFit="0" vertical="center" wrapText="0"/>
    </xf>
    <xf borderId="18" fillId="9" fontId="11" numFmtId="164" xfId="0" applyAlignment="1" applyBorder="1" applyFont="1" applyNumberFormat="1">
      <alignment horizontal="center" shrinkToFit="0" vertical="center" wrapText="0"/>
    </xf>
    <xf borderId="18" fillId="9" fontId="11" numFmtId="3" xfId="0" applyAlignment="1" applyBorder="1" applyFont="1" applyNumberFormat="1">
      <alignment horizontal="center" shrinkToFit="0" vertical="center" wrapText="0"/>
    </xf>
    <xf borderId="18" fillId="9" fontId="11" numFmtId="166" xfId="0" applyAlignment="1" applyBorder="1" applyFont="1" applyNumberFormat="1">
      <alignment horizontal="center" shrinkToFit="0" vertical="center" wrapText="0"/>
    </xf>
    <xf borderId="18" fillId="9" fontId="11" numFmtId="10" xfId="0" applyAlignment="1" applyBorder="1" applyFont="1" applyNumberFormat="1">
      <alignment horizontal="center" shrinkToFit="0" vertical="center" wrapText="0"/>
    </xf>
    <xf borderId="18" fillId="9" fontId="11" numFmtId="167" xfId="0" applyAlignment="1" applyBorder="1" applyFont="1" applyNumberFormat="1">
      <alignment horizontal="center" shrinkToFit="0" vertical="center" wrapText="0"/>
    </xf>
    <xf borderId="18" fillId="9" fontId="11" numFmtId="168" xfId="0" applyAlignment="1" applyBorder="1" applyFont="1" applyNumberFormat="1">
      <alignment horizontal="center" shrinkToFit="0" vertical="center" wrapText="0"/>
    </xf>
    <xf borderId="18" fillId="10" fontId="11" numFmtId="0" xfId="0" applyAlignment="1" applyBorder="1" applyFill="1" applyFont="1">
      <alignment horizontal="center" shrinkToFit="0" vertical="center" wrapText="0"/>
    </xf>
    <xf borderId="18" fillId="10" fontId="11" numFmtId="164" xfId="0" applyAlignment="1" applyBorder="1" applyFont="1" applyNumberFormat="1">
      <alignment horizontal="center" shrinkToFit="0" vertical="center" wrapText="0"/>
    </xf>
    <xf borderId="18" fillId="10" fontId="11" numFmtId="3" xfId="0" applyAlignment="1" applyBorder="1" applyFont="1" applyNumberFormat="1">
      <alignment horizontal="center" shrinkToFit="0" vertical="center" wrapText="0"/>
    </xf>
    <xf borderId="18" fillId="10" fontId="11" numFmtId="166" xfId="0" applyAlignment="1" applyBorder="1" applyFont="1" applyNumberFormat="1">
      <alignment horizontal="center" shrinkToFit="0" vertical="center" wrapText="0"/>
    </xf>
    <xf borderId="18" fillId="10" fontId="11" numFmtId="10" xfId="0" applyAlignment="1" applyBorder="1" applyFont="1" applyNumberFormat="1">
      <alignment horizontal="center" shrinkToFit="0" vertical="center" wrapText="0"/>
    </xf>
    <xf borderId="18" fillId="10" fontId="11" numFmtId="167" xfId="0" applyAlignment="1" applyBorder="1" applyFont="1" applyNumberFormat="1">
      <alignment horizontal="center" shrinkToFit="0" vertical="center" wrapText="0"/>
    </xf>
    <xf borderId="18" fillId="10" fontId="11" numFmtId="168" xfId="0" applyAlignment="1" applyBorder="1" applyFont="1" applyNumberFormat="1">
      <alignment horizontal="center" shrinkToFit="0" vertical="center" wrapText="0"/>
    </xf>
    <xf borderId="18" fillId="11" fontId="11" numFmtId="0" xfId="0" applyAlignment="1" applyBorder="1" applyFill="1" applyFont="1">
      <alignment horizontal="center" shrinkToFit="0" vertical="center" wrapText="0"/>
    </xf>
    <xf borderId="18" fillId="11" fontId="11" numFmtId="164" xfId="0" applyAlignment="1" applyBorder="1" applyFont="1" applyNumberFormat="1">
      <alignment horizontal="center" shrinkToFit="0" vertical="center" wrapText="0"/>
    </xf>
    <xf borderId="18" fillId="11" fontId="11" numFmtId="3" xfId="0" applyAlignment="1" applyBorder="1" applyFont="1" applyNumberFormat="1">
      <alignment horizontal="center" shrinkToFit="0" vertical="center" wrapText="0"/>
    </xf>
    <xf borderId="18" fillId="11" fontId="11" numFmtId="166" xfId="0" applyAlignment="1" applyBorder="1" applyFont="1" applyNumberFormat="1">
      <alignment horizontal="center" shrinkToFit="0" vertical="center" wrapText="0"/>
    </xf>
    <xf borderId="18" fillId="11" fontId="11" numFmtId="10" xfId="0" applyAlignment="1" applyBorder="1" applyFont="1" applyNumberFormat="1">
      <alignment horizontal="center" shrinkToFit="0" vertical="center" wrapText="0"/>
    </xf>
    <xf borderId="18" fillId="11" fontId="11" numFmtId="167" xfId="0" applyAlignment="1" applyBorder="1" applyFont="1" applyNumberFormat="1">
      <alignment horizontal="center" shrinkToFit="0" vertical="center" wrapText="0"/>
    </xf>
    <xf borderId="18" fillId="11" fontId="11" numFmtId="168" xfId="0" applyAlignment="1" applyBorder="1" applyFont="1" applyNumberFormat="1">
      <alignment horizontal="center" shrinkToFit="0" vertical="center" wrapText="0"/>
    </xf>
    <xf borderId="18" fillId="12" fontId="11" numFmtId="0" xfId="0" applyAlignment="1" applyBorder="1" applyFill="1" applyFont="1">
      <alignment horizontal="center" shrinkToFit="0" vertical="center" wrapText="0"/>
    </xf>
    <xf borderId="18" fillId="12" fontId="11" numFmtId="164" xfId="0" applyAlignment="1" applyBorder="1" applyFont="1" applyNumberFormat="1">
      <alignment horizontal="center" shrinkToFit="0" vertical="center" wrapText="0"/>
    </xf>
    <xf borderId="18" fillId="12" fontId="11" numFmtId="3" xfId="0" applyAlignment="1" applyBorder="1" applyFont="1" applyNumberFormat="1">
      <alignment horizontal="center" shrinkToFit="0" vertical="center" wrapText="0"/>
    </xf>
    <xf borderId="18" fillId="12" fontId="11" numFmtId="166" xfId="0" applyAlignment="1" applyBorder="1" applyFont="1" applyNumberFormat="1">
      <alignment horizontal="center" shrinkToFit="0" vertical="center" wrapText="0"/>
    </xf>
    <xf borderId="18" fillId="12" fontId="11" numFmtId="10" xfId="0" applyAlignment="1" applyBorder="1" applyFont="1" applyNumberFormat="1">
      <alignment horizontal="center" shrinkToFit="0" vertical="center" wrapText="0"/>
    </xf>
    <xf borderId="18" fillId="12" fontId="11" numFmtId="167" xfId="0" applyAlignment="1" applyBorder="1" applyFont="1" applyNumberFormat="1">
      <alignment horizontal="center" shrinkToFit="0" vertical="center" wrapText="0"/>
    </xf>
    <xf borderId="18" fillId="12" fontId="11" numFmtId="168" xfId="0" applyAlignment="1" applyBorder="1" applyFont="1" applyNumberFormat="1">
      <alignment horizontal="center" shrinkToFit="0" vertical="center" wrapText="0"/>
    </xf>
    <xf borderId="18" fillId="13" fontId="11" numFmtId="0" xfId="0" applyAlignment="1" applyBorder="1" applyFill="1" applyFont="1">
      <alignment horizontal="center" shrinkToFit="0" vertical="center" wrapText="0"/>
    </xf>
    <xf borderId="18" fillId="13" fontId="11" numFmtId="164" xfId="0" applyAlignment="1" applyBorder="1" applyFont="1" applyNumberFormat="1">
      <alignment horizontal="center" shrinkToFit="0" vertical="center" wrapText="0"/>
    </xf>
    <xf borderId="18" fillId="13" fontId="11" numFmtId="3" xfId="0" applyAlignment="1" applyBorder="1" applyFont="1" applyNumberFormat="1">
      <alignment horizontal="center" shrinkToFit="0" vertical="center" wrapText="0"/>
    </xf>
    <xf borderId="18" fillId="13" fontId="11" numFmtId="166" xfId="0" applyAlignment="1" applyBorder="1" applyFont="1" applyNumberFormat="1">
      <alignment horizontal="center" shrinkToFit="0" vertical="center" wrapText="0"/>
    </xf>
    <xf borderId="18" fillId="13" fontId="11" numFmtId="10" xfId="0" applyAlignment="1" applyBorder="1" applyFont="1" applyNumberFormat="1">
      <alignment horizontal="center" shrinkToFit="0" vertical="center" wrapText="0"/>
    </xf>
    <xf borderId="18" fillId="13" fontId="11" numFmtId="167" xfId="0" applyAlignment="1" applyBorder="1" applyFont="1" applyNumberFormat="1">
      <alignment horizontal="center" shrinkToFit="0" vertical="center" wrapText="0"/>
    </xf>
    <xf borderId="18" fillId="13" fontId="11" numFmtId="168" xfId="0" applyAlignment="1" applyBorder="1" applyFont="1" applyNumberFormat="1">
      <alignment horizontal="center" shrinkToFit="0" vertical="center" wrapText="0"/>
    </xf>
    <xf borderId="18" fillId="14" fontId="11" numFmtId="0" xfId="0" applyAlignment="1" applyBorder="1" applyFill="1" applyFont="1">
      <alignment horizontal="center" shrinkToFit="0" vertical="center" wrapText="0"/>
    </xf>
    <xf borderId="18" fillId="14" fontId="11" numFmtId="164" xfId="0" applyAlignment="1" applyBorder="1" applyFont="1" applyNumberFormat="1">
      <alignment horizontal="center" shrinkToFit="0" vertical="center" wrapText="0"/>
    </xf>
    <xf borderId="18" fillId="14" fontId="11" numFmtId="3" xfId="0" applyAlignment="1" applyBorder="1" applyFont="1" applyNumberFormat="1">
      <alignment horizontal="center" shrinkToFit="0" vertical="center" wrapText="0"/>
    </xf>
    <xf borderId="18" fillId="14" fontId="11" numFmtId="166" xfId="0" applyAlignment="1" applyBorder="1" applyFont="1" applyNumberFormat="1">
      <alignment horizontal="center" shrinkToFit="0" vertical="center" wrapText="0"/>
    </xf>
    <xf borderId="18" fillId="14" fontId="11" numFmtId="10" xfId="0" applyAlignment="1" applyBorder="1" applyFont="1" applyNumberFormat="1">
      <alignment horizontal="center" shrinkToFit="0" vertical="center" wrapText="0"/>
    </xf>
    <xf borderId="18" fillId="14" fontId="11" numFmtId="167" xfId="0" applyAlignment="1" applyBorder="1" applyFont="1" applyNumberFormat="1">
      <alignment horizontal="center" shrinkToFit="0" vertical="center" wrapText="0"/>
    </xf>
    <xf borderId="18" fillId="14" fontId="11" numFmtId="168" xfId="0" applyAlignment="1" applyBorder="1" applyFont="1" applyNumberFormat="1">
      <alignment horizontal="center" shrinkToFit="0" vertical="center" wrapText="0"/>
    </xf>
    <xf borderId="18" fillId="15" fontId="11" numFmtId="0" xfId="0" applyAlignment="1" applyBorder="1" applyFill="1" applyFont="1">
      <alignment horizontal="center" shrinkToFit="0" vertical="center" wrapText="0"/>
    </xf>
    <xf borderId="18" fillId="15" fontId="11" numFmtId="164" xfId="0" applyAlignment="1" applyBorder="1" applyFont="1" applyNumberFormat="1">
      <alignment horizontal="center" shrinkToFit="0" vertical="center" wrapText="0"/>
    </xf>
    <xf borderId="18" fillId="15" fontId="11" numFmtId="3" xfId="0" applyAlignment="1" applyBorder="1" applyFont="1" applyNumberFormat="1">
      <alignment horizontal="center" shrinkToFit="0" vertical="center" wrapText="0"/>
    </xf>
    <xf borderId="18" fillId="15" fontId="11" numFmtId="166" xfId="0" applyAlignment="1" applyBorder="1" applyFont="1" applyNumberFormat="1">
      <alignment horizontal="center" shrinkToFit="0" vertical="center" wrapText="0"/>
    </xf>
    <xf borderId="18" fillId="15" fontId="11" numFmtId="10" xfId="0" applyAlignment="1" applyBorder="1" applyFont="1" applyNumberFormat="1">
      <alignment horizontal="center" shrinkToFit="0" vertical="center" wrapText="0"/>
    </xf>
    <xf borderId="18" fillId="15" fontId="11" numFmtId="167" xfId="0" applyAlignment="1" applyBorder="1" applyFont="1" applyNumberFormat="1">
      <alignment horizontal="center" shrinkToFit="0" vertical="center" wrapText="0"/>
    </xf>
    <xf borderId="18" fillId="15" fontId="11" numFmtId="168" xfId="0" applyAlignment="1" applyBorder="1" applyFont="1" applyNumberFormat="1">
      <alignment horizontal="center" shrinkToFit="0" vertical="center" wrapText="0"/>
    </xf>
    <xf borderId="18" fillId="16" fontId="11" numFmtId="0" xfId="0" applyAlignment="1" applyBorder="1" applyFill="1" applyFont="1">
      <alignment horizontal="center" shrinkToFit="0" vertical="center" wrapText="0"/>
    </xf>
    <xf borderId="18" fillId="16" fontId="11" numFmtId="164" xfId="0" applyAlignment="1" applyBorder="1" applyFont="1" applyNumberFormat="1">
      <alignment horizontal="center" shrinkToFit="0" vertical="center" wrapText="0"/>
    </xf>
    <xf borderId="18" fillId="16" fontId="11" numFmtId="3" xfId="0" applyAlignment="1" applyBorder="1" applyFont="1" applyNumberFormat="1">
      <alignment horizontal="center" shrinkToFit="0" vertical="center" wrapText="0"/>
    </xf>
    <xf borderId="18" fillId="16" fontId="11" numFmtId="166" xfId="0" applyAlignment="1" applyBorder="1" applyFont="1" applyNumberFormat="1">
      <alignment horizontal="center" shrinkToFit="0" vertical="center" wrapText="0"/>
    </xf>
    <xf borderId="18" fillId="16" fontId="11" numFmtId="10" xfId="0" applyAlignment="1" applyBorder="1" applyFont="1" applyNumberFormat="1">
      <alignment horizontal="center" shrinkToFit="0" vertical="center" wrapText="0"/>
    </xf>
    <xf borderId="18" fillId="16" fontId="11" numFmtId="167" xfId="0" applyAlignment="1" applyBorder="1" applyFont="1" applyNumberFormat="1">
      <alignment horizontal="center" shrinkToFit="0" vertical="center" wrapText="0"/>
    </xf>
    <xf borderId="18" fillId="16" fontId="11" numFmtId="168" xfId="0" applyAlignment="1" applyBorder="1" applyFont="1" applyNumberFormat="1">
      <alignment horizontal="center" shrinkToFit="0" vertical="center" wrapText="0"/>
    </xf>
    <xf borderId="18" fillId="6" fontId="10" numFmtId="0" xfId="0" applyAlignment="1" applyBorder="1" applyFont="1">
      <alignment horizontal="left" shrinkToFit="0" vertical="center" wrapText="0"/>
    </xf>
    <xf borderId="18" fillId="6" fontId="10" numFmtId="0" xfId="0" applyAlignment="1" applyBorder="1" applyFont="1">
      <alignment shrinkToFit="0" vertical="bottom" wrapText="0"/>
    </xf>
    <xf borderId="18" fillId="6" fontId="10" numFmtId="164" xfId="0" applyAlignment="1" applyBorder="1" applyFont="1" applyNumberFormat="1">
      <alignment shrinkToFit="0" vertical="bottom" wrapText="0"/>
    </xf>
    <xf borderId="18" fillId="6" fontId="10" numFmtId="3" xfId="0" applyAlignment="1" applyBorder="1" applyFont="1" applyNumberFormat="1">
      <alignment shrinkToFit="0" vertical="bottom" wrapText="0"/>
    </xf>
    <xf borderId="18" fillId="6" fontId="10" numFmtId="166" xfId="0" applyAlignment="1" applyBorder="1" applyFont="1" applyNumberFormat="1">
      <alignment shrinkToFit="0" vertical="bottom" wrapText="0"/>
    </xf>
    <xf borderId="18" fillId="6" fontId="10" numFmtId="10" xfId="0" applyAlignment="1" applyBorder="1" applyFont="1" applyNumberFormat="1">
      <alignment shrinkToFit="0" vertical="bottom" wrapText="0"/>
    </xf>
    <xf borderId="18" fillId="6" fontId="10" numFmtId="167" xfId="0" applyAlignment="1" applyBorder="1" applyFont="1" applyNumberFormat="1">
      <alignment shrinkToFit="0" vertical="bottom" wrapText="0"/>
    </xf>
    <xf borderId="18" fillId="6" fontId="10" numFmtId="168" xfId="0" applyAlignment="1" applyBorder="1" applyFont="1" applyNumberForma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14" numFmtId="0" xfId="0" applyFont="1"/>
    <xf borderId="1" fillId="5" fontId="12" numFmtId="0" xfId="0" applyAlignment="1" applyBorder="1" applyFont="1">
      <alignment horizontal="center" shrinkToFit="0" vertical="center" wrapText="0"/>
    </xf>
    <xf borderId="18" fillId="6" fontId="10" numFmtId="0" xfId="0" applyAlignment="1" applyBorder="1" applyFont="1">
      <alignment horizontal="center" shrinkToFit="0" vertical="center" wrapText="1"/>
    </xf>
    <xf borderId="18" fillId="0" fontId="11" numFmtId="0" xfId="0" applyAlignment="1" applyBorder="1" applyFont="1">
      <alignment horizontal="left" shrinkToFit="0" vertical="center" wrapText="0"/>
    </xf>
    <xf borderId="18" fillId="0" fontId="11" numFmtId="0" xfId="0" applyAlignment="1" applyBorder="1" applyFont="1">
      <alignment horizontal="center" shrinkToFit="0" vertical="center" wrapText="0"/>
    </xf>
    <xf borderId="18" fillId="0" fontId="11" numFmtId="169" xfId="0" applyAlignment="1" applyBorder="1" applyFont="1" applyNumberFormat="1">
      <alignment horizontal="center" shrinkToFit="0" vertical="center" wrapText="0"/>
    </xf>
    <xf borderId="18" fillId="0" fontId="11" numFmtId="0" xfId="0" applyAlignment="1" applyBorder="1" applyFont="1">
      <alignment horizontal="left" shrinkToFit="0" vertical="center" wrapText="1"/>
    </xf>
    <xf borderId="18" fillId="3" fontId="11" numFmtId="0" xfId="0" applyAlignment="1" applyBorder="1" applyFont="1">
      <alignment horizontal="left" shrinkToFit="0" vertical="center" wrapText="0"/>
    </xf>
    <xf borderId="18" fillId="3" fontId="11" numFmtId="169" xfId="0" applyAlignment="1" applyBorder="1" applyFont="1" applyNumberFormat="1">
      <alignment horizontal="center" shrinkToFit="0" vertical="center" wrapText="0"/>
    </xf>
    <xf borderId="18" fillId="3" fontId="15" numFmtId="169" xfId="0" applyAlignment="1" applyBorder="1" applyFont="1" applyNumberFormat="1">
      <alignment horizontal="center" shrinkToFit="0" vertical="center" wrapText="0"/>
    </xf>
    <xf borderId="18" fillId="3" fontId="11" numFmtId="0" xfId="0" applyAlignment="1" applyBorder="1" applyFont="1">
      <alignment horizontal="left" shrinkToFit="0" vertical="center" wrapText="1"/>
    </xf>
    <xf borderId="18" fillId="0" fontId="15" numFmtId="169" xfId="0" applyAlignment="1" applyBorder="1" applyFont="1" applyNumberFormat="1">
      <alignment horizontal="center" shrinkToFit="0" vertical="center" wrapText="0"/>
    </xf>
    <xf borderId="18" fillId="7" fontId="10" numFmtId="169" xfId="0" applyAlignment="1" applyBorder="1" applyFont="1" applyNumberFormat="1">
      <alignment horizontal="center" shrinkToFit="0" vertical="center" wrapText="0"/>
    </xf>
    <xf borderId="18" fillId="0" fontId="11" numFmtId="164" xfId="0" applyAlignment="1" applyBorder="1" applyFont="1" applyNumberFormat="1">
      <alignment horizontal="center" shrinkToFit="0" vertical="center" wrapText="0"/>
    </xf>
    <xf borderId="18" fillId="5" fontId="10" numFmtId="169" xfId="0" applyAlignment="1" applyBorder="1" applyFont="1" applyNumberFormat="1">
      <alignment horizontal="center" shrinkToFit="0" vertical="center" wrapText="0"/>
    </xf>
    <xf borderId="18" fillId="17" fontId="10" numFmtId="169" xfId="0" applyAlignment="1" applyBorder="1" applyFill="1" applyFont="1" applyNumberFormat="1">
      <alignment horizontal="center" shrinkToFit="0" vertical="center" wrapText="0"/>
    </xf>
    <xf borderId="1" fillId="17" fontId="12" numFmtId="0" xfId="0" applyAlignment="1" applyBorder="1" applyFont="1">
      <alignment horizontal="center" shrinkToFit="0" vertical="center" wrapText="0"/>
    </xf>
    <xf borderId="18" fillId="18" fontId="13" numFmtId="0" xfId="0" applyAlignment="1" applyBorder="1" applyFill="1" applyFont="1">
      <alignment horizontal="left" shrinkToFit="0" vertical="center" wrapText="0"/>
    </xf>
    <xf borderId="18" fillId="18" fontId="13" numFmtId="169" xfId="0" applyAlignment="1" applyBorder="1" applyFont="1" applyNumberFormat="1">
      <alignment horizontal="center" shrinkToFit="0" vertical="center" wrapText="0"/>
    </xf>
    <xf borderId="18" fillId="18" fontId="13" numFmtId="165" xfId="0" applyAlignment="1" applyBorder="1" applyFont="1" applyNumberFormat="1">
      <alignment horizontal="center" shrinkToFit="0" vertical="center" wrapText="0"/>
    </xf>
    <xf borderId="18" fillId="18" fontId="13" numFmtId="170" xfId="0" applyAlignment="1" applyBorder="1" applyFont="1" applyNumberFormat="1">
      <alignment horizontal="center" shrinkToFit="0" vertical="center" wrapText="0"/>
    </xf>
    <xf borderId="18" fillId="18" fontId="13" numFmtId="168" xfId="0" applyAlignment="1" applyBorder="1" applyFont="1" applyNumberFormat="1">
      <alignment horizontal="center" shrinkToFit="0" vertical="center" wrapText="0"/>
    </xf>
    <xf borderId="18" fillId="18" fontId="13" numFmtId="0" xfId="0" applyAlignment="1" applyBorder="1" applyFont="1">
      <alignment horizontal="left" shrinkToFit="0" vertical="center" wrapText="1"/>
    </xf>
    <xf borderId="18" fillId="3" fontId="11" numFmtId="170" xfId="0" applyAlignment="1" applyBorder="1" applyFont="1" applyNumberFormat="1">
      <alignment horizontal="center" shrinkToFit="0" vertical="center" wrapText="0"/>
    </xf>
    <xf borderId="18" fillId="3" fontId="11" numFmtId="168" xfId="0" applyAlignment="1" applyBorder="1" applyFont="1" applyNumberFormat="1">
      <alignment horizontal="center" shrinkToFit="0" vertical="center" wrapText="0"/>
    </xf>
    <xf borderId="18" fillId="8" fontId="11" numFmtId="0" xfId="0" applyAlignment="1" applyBorder="1" applyFont="1">
      <alignment horizontal="left" shrinkToFit="0" vertical="center" wrapText="0"/>
    </xf>
    <xf borderId="18" fillId="8" fontId="11" numFmtId="169" xfId="0" applyAlignment="1" applyBorder="1" applyFont="1" applyNumberFormat="1">
      <alignment horizontal="center" shrinkToFit="0" vertical="center" wrapText="0"/>
    </xf>
    <xf borderId="18" fillId="8" fontId="11" numFmtId="170" xfId="0" applyAlignment="1" applyBorder="1" applyFont="1" applyNumberFormat="1">
      <alignment horizontal="center" shrinkToFit="0" vertical="center" wrapText="0"/>
    </xf>
    <xf borderId="18" fillId="8" fontId="11" numFmtId="168" xfId="0" applyAlignment="1" applyBorder="1" applyFont="1" applyNumberFormat="1">
      <alignment horizontal="center" shrinkToFit="0" vertical="center" wrapText="0"/>
    </xf>
    <xf borderId="18" fillId="8" fontId="11" numFmtId="0" xfId="0" applyAlignment="1" applyBorder="1" applyFont="1">
      <alignment horizontal="left" shrinkToFit="0" vertical="center" wrapText="1"/>
    </xf>
    <xf borderId="18" fillId="3" fontId="16" numFmtId="165" xfId="0" applyAlignment="1" applyBorder="1" applyFont="1" applyNumberFormat="1">
      <alignment horizontal="center" shrinkToFit="0" vertical="center" wrapText="0"/>
    </xf>
    <xf borderId="18" fillId="3" fontId="16" numFmtId="170" xfId="0" applyAlignment="1" applyBorder="1" applyFont="1" applyNumberFormat="1">
      <alignment horizontal="center" shrinkToFit="0" vertical="center" wrapText="0"/>
    </xf>
    <xf borderId="18" fillId="3" fontId="16" numFmtId="0" xfId="0" applyAlignment="1" applyBorder="1" applyFont="1">
      <alignment horizontal="left" shrinkToFit="0" vertical="center" wrapText="0"/>
    </xf>
    <xf borderId="18" fillId="8" fontId="16" numFmtId="165" xfId="0" applyAlignment="1" applyBorder="1" applyFont="1" applyNumberFormat="1">
      <alignment horizontal="center" shrinkToFit="0" vertical="center" wrapText="0"/>
    </xf>
    <xf borderId="18" fillId="8" fontId="16" numFmtId="170" xfId="0" applyAlignment="1" applyBorder="1" applyFont="1" applyNumberFormat="1">
      <alignment horizontal="center" shrinkToFit="0" vertical="center" wrapText="0"/>
    </xf>
    <xf borderId="18" fillId="8" fontId="16" numFmtId="0" xfId="0" applyAlignment="1" applyBorder="1" applyFont="1">
      <alignment horizontal="left" shrinkToFit="0" vertical="center" wrapText="0"/>
    </xf>
    <xf borderId="18" fillId="8" fontId="15" numFmtId="170" xfId="0" applyAlignment="1" applyBorder="1" applyFont="1" applyNumberFormat="1">
      <alignment horizontal="center" shrinkToFit="0" vertical="center" wrapText="0"/>
    </xf>
    <xf borderId="18" fillId="3" fontId="15" numFmtId="170" xfId="0" applyAlignment="1" applyBorder="1" applyFont="1" applyNumberFormat="1">
      <alignment horizontal="center" shrinkToFit="0" vertical="center" wrapText="0"/>
    </xf>
    <xf borderId="18" fillId="3" fontId="15" numFmtId="0" xfId="0" applyAlignment="1" applyBorder="1" applyFont="1">
      <alignment horizontal="left" shrinkToFit="0" vertical="center" wrapText="0"/>
    </xf>
    <xf borderId="18" fillId="8" fontId="15" numFmtId="0" xfId="0" applyAlignment="1" applyBorder="1" applyFont="1">
      <alignment horizontal="left" shrinkToFit="0" vertical="center" wrapText="0"/>
    </xf>
    <xf borderId="1" fillId="7" fontId="12" numFmtId="0" xfId="0" applyAlignment="1" applyBorder="1" applyFont="1">
      <alignment horizontal="center" shrinkToFit="0" vertical="center" wrapText="0"/>
    </xf>
    <xf borderId="18" fillId="8" fontId="11" numFmtId="3" xfId="0" applyAlignment="1" applyBorder="1" applyFont="1" applyNumberFormat="1">
      <alignment horizontal="center" shrinkToFit="0" vertical="center" wrapText="0"/>
    </xf>
    <xf borderId="18" fillId="3" fontId="11" numFmtId="3" xfId="0" applyAlignment="1" applyBorder="1" applyFont="1" applyNumberFormat="1">
      <alignment horizontal="center" shrinkToFit="0" vertical="center" wrapText="0"/>
    </xf>
    <xf borderId="18" fillId="18" fontId="13" numFmtId="0" xfId="0" applyAlignment="1" applyBorder="1" applyFont="1">
      <alignment horizontal="center" shrinkToFit="0" vertical="center" wrapText="0"/>
    </xf>
    <xf borderId="18" fillId="18" fontId="13" numFmtId="164" xfId="0" applyAlignment="1" applyBorder="1" applyFont="1" applyNumberFormat="1">
      <alignment horizontal="center" shrinkToFit="0" vertical="center" wrapText="0"/>
    </xf>
    <xf borderId="18" fillId="18" fontId="11" numFmtId="0" xfId="0" applyAlignment="1" applyBorder="1" applyFont="1">
      <alignment horizontal="left" shrinkToFit="0" vertical="center" wrapText="0"/>
    </xf>
    <xf borderId="1" fillId="2" fontId="17" numFmtId="0" xfId="0" applyAlignment="1" applyBorder="1" applyFont="1">
      <alignment horizontal="center" shrinkToFit="0" vertical="center" wrapText="0"/>
    </xf>
    <xf borderId="9" fillId="17" fontId="18" numFmtId="0" xfId="0" applyAlignment="1" applyBorder="1" applyFont="1">
      <alignment horizontal="left" shrinkToFit="0" vertical="center" wrapText="0"/>
    </xf>
    <xf borderId="19" fillId="3" fontId="13" numFmtId="0" xfId="0" applyAlignment="1" applyBorder="1" applyFont="1">
      <alignment horizontal="left" shrinkToFit="0" vertical="center" wrapText="0"/>
    </xf>
    <xf borderId="20" fillId="0" fontId="2" numFmtId="0" xfId="0" applyBorder="1" applyFont="1"/>
    <xf borderId="19" fillId="0" fontId="11" numFmtId="0" xfId="0" applyAlignment="1" applyBorder="1" applyFont="1">
      <alignment horizontal="left" shrinkToFit="0" vertical="center" wrapText="1"/>
    </xf>
    <xf borderId="21" fillId="0" fontId="2" numFmtId="0" xfId="0" applyBorder="1" applyFont="1"/>
    <xf borderId="9" fillId="5" fontId="18" numFmtId="0" xfId="0" applyAlignment="1" applyBorder="1" applyFont="1">
      <alignment horizontal="left" shrinkToFit="0" vertical="center" wrapText="0"/>
    </xf>
    <xf borderId="9" fillId="7" fontId="18" numFmtId="0" xfId="0" applyAlignment="1" applyBorder="1" applyFont="1">
      <alignment horizontal="left" shrinkToFit="0" vertical="center" wrapText="0"/>
    </xf>
    <xf borderId="1" fillId="6" fontId="12" numFmtId="0" xfId="0" applyAlignment="1" applyBorder="1" applyFont="1">
      <alignment horizontal="center" shrinkToFit="0" vertical="center" wrapText="0"/>
    </xf>
    <xf borderId="18" fillId="19" fontId="11" numFmtId="0" xfId="0" applyAlignment="1" applyBorder="1" applyFill="1" applyFont="1">
      <alignment horizontal="left" shrinkToFit="0" vertical="center" wrapText="0"/>
    </xf>
    <xf borderId="18" fillId="19" fontId="11" numFmtId="0" xfId="0" applyAlignment="1" applyBorder="1" applyFont="1">
      <alignment horizontal="center" shrinkToFit="0" vertical="center" wrapText="0"/>
    </xf>
    <xf borderId="18" fillId="19" fontId="11" numFmtId="164" xfId="0" applyAlignment="1" applyBorder="1" applyFont="1" applyNumberFormat="1">
      <alignment horizontal="center" shrinkToFit="0" vertical="center" wrapText="0"/>
    </xf>
    <xf borderId="18" fillId="20" fontId="11" numFmtId="0" xfId="0" applyAlignment="1" applyBorder="1" applyFill="1" applyFont="1">
      <alignment horizontal="left" shrinkToFit="0" vertical="center" wrapText="0"/>
    </xf>
    <xf borderId="18" fillId="20" fontId="11" numFmtId="0" xfId="0" applyAlignment="1" applyBorder="1" applyFont="1">
      <alignment horizontal="center" shrinkToFit="0" vertical="center" wrapText="0"/>
    </xf>
    <xf borderId="18" fillId="20" fontId="11" numFmtId="164" xfId="0" applyAlignment="1" applyBorder="1" applyFont="1" applyNumberFormat="1">
      <alignment horizontal="center" shrinkToFit="0" vertical="center" wrapText="0"/>
    </xf>
    <xf borderId="18" fillId="18" fontId="11" numFmtId="0" xfId="0" applyAlignment="1" applyBorder="1" applyFont="1">
      <alignment horizontal="center" shrinkToFit="0" vertical="center" wrapText="0"/>
    </xf>
    <xf borderId="18" fillId="18" fontId="11" numFmtId="164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Monthly Platform GMV (USD)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GMV (USD)</c:v>
          </c:tx>
          <c:spPr>
            <a:solidFill>
              <a:srgbClr val="2C4A6E"/>
            </a:solidFill>
            <a:ln cmpd="sng">
              <a:noFill/>
            </a:ln>
          </c:spPr>
          <c:cat>
            <c:strRef>
              <c:f>'📊 Executive Dashboard'!$A$21:$A$36</c:f>
            </c:strRef>
          </c:cat>
          <c:val>
            <c:numRef>
              <c:f>'📊 Executive Dashboard'!$D$21:$D$36</c:f>
              <c:numCache/>
            </c:numRef>
          </c:val>
        </c:ser>
        <c:axId val="866830911"/>
        <c:axId val="1638430701"/>
      </c:barChart>
      <c:catAx>
        <c:axId val="8668309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38430701"/>
      </c:catAx>
      <c:valAx>
        <c:axId val="16384307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USD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66830911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Monthly New Creator Signups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New Creators</c:v>
          </c:tx>
          <c:spPr>
            <a:ln cmpd="sng" w="19050">
              <a:solidFill>
                <a:srgbClr val="17A3A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'📊 Executive Dashboard'!$A$21:$A$36</c:f>
            </c:strRef>
          </c:cat>
          <c:val>
            <c:numRef>
              <c:f>'📊 Executive Dashboard'!$B$21:$B$36</c:f>
              <c:numCache/>
            </c:numRef>
          </c:val>
          <c:smooth val="1"/>
        </c:ser>
        <c:axId val="308177619"/>
        <c:axId val="259784219"/>
      </c:lineChart>
      <c:catAx>
        <c:axId val="3081776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59784219"/>
      </c:catAx>
      <c:valAx>
        <c:axId val="2597842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Creators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08177619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Total Campaign Views by Content 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Total Views</c:v>
          </c:tx>
          <c:spPr>
            <a:solidFill>
              <a:srgbClr val="17A3A0"/>
            </a:solidFill>
            <a:ln cmpd="sng">
              <a:noFill/>
            </a:ln>
          </c:spPr>
          <c:cat>
            <c:strRef>
              <c:f>'🎯 Campaign Performance'!$A$44:$A$51</c:f>
            </c:strRef>
          </c:cat>
          <c:val>
            <c:numRef>
              <c:f>'🎯 Campaign Performance'!$B$44:$B$51</c:f>
              <c:numCache/>
            </c:numRef>
          </c:val>
        </c:ser>
        <c:axId val="1877246255"/>
        <c:axId val="1215603155"/>
      </c:barChart>
      <c:catAx>
        <c:axId val="187724625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15603155"/>
      </c:catAx>
      <c:valAx>
        <c:axId val="121560315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Views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77246255"/>
        <c:crosses val="max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Acquisition Funnel (Creator Count)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Count</c:v>
          </c:tx>
          <c:spPr>
            <a:solidFill>
              <a:srgbClr val="1A2E4A"/>
            </a:solidFill>
            <a:ln cmpd="sng">
              <a:noFill/>
            </a:ln>
          </c:spPr>
          <c:cat>
            <c:strRef>
              <c:f>'👥 Cohort &amp; Funnel'!$A$7:$A$11</c:f>
            </c:strRef>
          </c:cat>
          <c:val>
            <c:numRef>
              <c:f>'👥 Cohort &amp; Funnel'!$B$7:$B$11</c:f>
              <c:numCache/>
            </c:numRef>
          </c:val>
        </c:ser>
        <c:axId val="943225868"/>
        <c:axId val="1449082432"/>
      </c:barChart>
      <c:catAx>
        <c:axId val="94322586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49082432"/>
      </c:catAx>
      <c:valAx>
        <c:axId val="144908243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43225868"/>
        <c:crosses val="max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Market Share (%)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'🏆 Competitor Benchmarking'!$B$6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'🏆 Competitor Benchmarking'!$A$7:$A$12</c:f>
            </c:strRef>
          </c:cat>
          <c:val>
            <c:numRef>
              <c:f>'🏆 Competitor Benchmarking'!$B$7:$B$12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Cost per 1000 Views by Category (USD)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CPV ($‰)</c:v>
          </c:tx>
          <c:spPr>
            <a:solidFill>
              <a:srgbClr val="F4A621"/>
            </a:solidFill>
            <a:ln cmpd="sng">
              <a:noFill/>
            </a:ln>
          </c:spPr>
          <c:cat>
            <c:strRef>
              <c:f>'📈 Category &amp; Budget Analysis'!$A$7:$A$14</c:f>
            </c:strRef>
          </c:cat>
          <c:val>
            <c:numRef>
              <c:f>'📈 Category &amp; Budget Analysis'!$F$7:$F$14</c:f>
              <c:numCache/>
            </c:numRef>
          </c:val>
        </c:ser>
        <c:axId val="1078007064"/>
        <c:axId val="404340161"/>
      </c:barChart>
      <c:catAx>
        <c:axId val="1078007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04340161"/>
      </c:catAx>
      <c:valAx>
        <c:axId val="4043401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78007064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18</xdr:row>
      <xdr:rowOff>0</xdr:rowOff>
    </xdr:from>
    <xdr:ext cx="6172200" cy="41433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37</xdr:row>
      <xdr:rowOff>0</xdr:rowOff>
    </xdr:from>
    <xdr:ext cx="6172200" cy="41433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41</xdr:row>
      <xdr:rowOff>0</xdr:rowOff>
    </xdr:from>
    <xdr:ext cx="5448300" cy="37623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4</xdr:row>
      <xdr:rowOff>0</xdr:rowOff>
    </xdr:from>
    <xdr:ext cx="5476875" cy="364807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4</xdr:row>
      <xdr:rowOff>0</xdr:rowOff>
    </xdr:from>
    <xdr:ext cx="4791075" cy="180975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4</xdr:row>
      <xdr:rowOff>0</xdr:rowOff>
    </xdr:from>
    <xdr:ext cx="5476875" cy="373380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2E4A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3" width="8.0"/>
    <col customWidth="1" min="4" max="4" width="2.0"/>
    <col customWidth="1" min="5" max="6" width="8.0"/>
    <col customWidth="1" min="7" max="7" width="2.0"/>
    <col customWidth="1" min="8" max="9" width="8.0"/>
    <col customWidth="1" min="10" max="10" width="2.0"/>
    <col customWidth="1" min="11" max="12" width="8.0"/>
    <col customWidth="1" min="13" max="13" width="2.0"/>
    <col customWidth="1" min="14" max="14" width="4.0"/>
    <col customWidth="1" min="15" max="26" width="8.71"/>
  </cols>
  <sheetData>
    <row r="1" ht="1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2.0" customHeight="1">
      <c r="A2" s="4"/>
      <c r="N2" s="5"/>
    </row>
    <row r="3" ht="19.5" customHeight="1">
      <c r="A3" s="4"/>
      <c r="N3" s="5"/>
    </row>
    <row r="4" ht="12.0" customHeight="1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8"/>
    </row>
    <row r="5">
      <c r="A5" s="9" t="s">
        <v>1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/>
    </row>
    <row r="6" ht="6.0" customHeight="1"/>
    <row r="7">
      <c r="A7" s="12"/>
      <c r="B7" s="10"/>
      <c r="C7" s="13"/>
      <c r="D7" s="14"/>
      <c r="E7" s="10"/>
      <c r="F7" s="13"/>
      <c r="G7" s="15"/>
      <c r="H7" s="10"/>
      <c r="I7" s="13"/>
      <c r="J7" s="16"/>
      <c r="K7" s="10"/>
      <c r="L7" s="13"/>
    </row>
    <row r="8">
      <c r="A8" s="17" t="s">
        <v>2</v>
      </c>
      <c r="B8" s="10"/>
      <c r="C8" s="13"/>
      <c r="D8" s="17" t="s">
        <v>3</v>
      </c>
      <c r="E8" s="10"/>
      <c r="F8" s="13"/>
      <c r="G8" s="17" t="s">
        <v>4</v>
      </c>
      <c r="H8" s="10"/>
      <c r="I8" s="13"/>
      <c r="J8" s="17" t="s">
        <v>5</v>
      </c>
      <c r="K8" s="10"/>
      <c r="L8" s="13"/>
    </row>
    <row r="9">
      <c r="A9" s="18" t="s">
        <v>6</v>
      </c>
      <c r="B9" s="10"/>
      <c r="C9" s="13"/>
      <c r="D9" s="18" t="s">
        <v>7</v>
      </c>
      <c r="E9" s="10"/>
      <c r="F9" s="13"/>
      <c r="G9" s="18" t="s">
        <v>8</v>
      </c>
      <c r="H9" s="10"/>
      <c r="I9" s="13"/>
      <c r="J9" s="18" t="s">
        <v>9</v>
      </c>
      <c r="K9" s="10"/>
      <c r="L9" s="13"/>
    </row>
    <row r="10">
      <c r="A10" s="19" t="s">
        <v>10</v>
      </c>
      <c r="B10" s="10"/>
      <c r="C10" s="13"/>
      <c r="D10" s="20" t="s">
        <v>11</v>
      </c>
      <c r="E10" s="10"/>
      <c r="F10" s="13"/>
      <c r="G10" s="20" t="s">
        <v>12</v>
      </c>
      <c r="H10" s="10"/>
      <c r="I10" s="13"/>
      <c r="J10" s="19" t="s">
        <v>13</v>
      </c>
      <c r="K10" s="10"/>
      <c r="L10" s="13"/>
    </row>
    <row r="11">
      <c r="A11" s="21"/>
      <c r="B11" s="22"/>
      <c r="C11" s="23"/>
      <c r="D11" s="21"/>
      <c r="E11" s="22"/>
      <c r="F11" s="23"/>
      <c r="G11" s="21"/>
      <c r="H11" s="22"/>
      <c r="I11" s="23"/>
      <c r="J11" s="21"/>
      <c r="K11" s="22"/>
      <c r="L11" s="23"/>
    </row>
    <row r="12" ht="6.0" customHeight="1"/>
    <row r="13">
      <c r="A13" s="12"/>
      <c r="B13" s="10"/>
      <c r="C13" s="13"/>
      <c r="D13" s="14"/>
      <c r="E13" s="10"/>
      <c r="F13" s="13"/>
      <c r="G13" s="16"/>
      <c r="H13" s="10"/>
      <c r="I13" s="13"/>
      <c r="J13" s="15"/>
      <c r="K13" s="10"/>
      <c r="L13" s="13"/>
    </row>
    <row r="14">
      <c r="A14" s="17" t="s">
        <v>14</v>
      </c>
      <c r="B14" s="10"/>
      <c r="C14" s="13"/>
      <c r="D14" s="17" t="s">
        <v>15</v>
      </c>
      <c r="E14" s="10"/>
      <c r="F14" s="13"/>
      <c r="G14" s="17" t="s">
        <v>16</v>
      </c>
      <c r="H14" s="10"/>
      <c r="I14" s="13"/>
      <c r="J14" s="17" t="s">
        <v>17</v>
      </c>
      <c r="K14" s="10"/>
      <c r="L14" s="13"/>
    </row>
    <row r="15">
      <c r="A15" s="18" t="s">
        <v>18</v>
      </c>
      <c r="B15" s="10"/>
      <c r="C15" s="13"/>
      <c r="D15" s="18" t="s">
        <v>19</v>
      </c>
      <c r="E15" s="10"/>
      <c r="F15" s="13"/>
      <c r="G15" s="18" t="s">
        <v>20</v>
      </c>
      <c r="H15" s="10"/>
      <c r="I15" s="13"/>
      <c r="J15" s="18" t="s">
        <v>21</v>
      </c>
      <c r="K15" s="10"/>
      <c r="L15" s="13"/>
    </row>
    <row r="16">
      <c r="A16" s="20" t="s">
        <v>22</v>
      </c>
      <c r="B16" s="10"/>
      <c r="C16" s="13"/>
      <c r="D16" s="20" t="s">
        <v>23</v>
      </c>
      <c r="E16" s="10"/>
      <c r="F16" s="13"/>
      <c r="G16" s="19" t="s">
        <v>24</v>
      </c>
      <c r="H16" s="10"/>
      <c r="I16" s="13"/>
      <c r="J16" s="20" t="s">
        <v>25</v>
      </c>
      <c r="K16" s="10"/>
      <c r="L16" s="13"/>
    </row>
    <row r="17">
      <c r="A17" s="21"/>
      <c r="B17" s="22"/>
      <c r="C17" s="23"/>
      <c r="D17" s="21"/>
      <c r="E17" s="22"/>
      <c r="F17" s="23"/>
      <c r="G17" s="21"/>
      <c r="H17" s="22"/>
      <c r="I17" s="23"/>
      <c r="J17" s="21"/>
      <c r="K17" s="22"/>
      <c r="L17" s="23"/>
    </row>
    <row r="18" ht="9.75" customHeight="1"/>
    <row r="19">
      <c r="A19" s="24" t="s">
        <v>26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</row>
    <row r="20">
      <c r="A20" s="26" t="s">
        <v>27</v>
      </c>
      <c r="B20" s="26" t="s">
        <v>28</v>
      </c>
      <c r="C20" s="26" t="s">
        <v>29</v>
      </c>
      <c r="D20" s="26" t="s">
        <v>30</v>
      </c>
      <c r="E20" s="26" t="s">
        <v>31</v>
      </c>
      <c r="F20" s="26" t="s">
        <v>32</v>
      </c>
      <c r="G20" s="26" t="s">
        <v>33</v>
      </c>
    </row>
    <row r="21" ht="15.75" customHeight="1">
      <c r="A21" s="27" t="s">
        <v>34</v>
      </c>
      <c r="B21" s="27">
        <v>2.0</v>
      </c>
      <c r="C21" s="27">
        <v>1.0</v>
      </c>
      <c r="D21" s="28">
        <v>500.0</v>
      </c>
      <c r="E21" s="27">
        <v>51450.0</v>
      </c>
      <c r="F21" s="27">
        <v>630.0</v>
      </c>
      <c r="G21" s="29">
        <v>9.72</v>
      </c>
    </row>
    <row r="22" ht="15.75" customHeight="1">
      <c r="A22" s="30" t="s">
        <v>35</v>
      </c>
      <c r="B22" s="30">
        <v>2.0</v>
      </c>
      <c r="C22" s="30">
        <v>2.0</v>
      </c>
      <c r="D22" s="31">
        <v>750.0</v>
      </c>
      <c r="E22" s="30">
        <v>52500.0</v>
      </c>
      <c r="F22" s="30">
        <v>667.0</v>
      </c>
      <c r="G22" s="32">
        <v>14.29</v>
      </c>
    </row>
    <row r="23" ht="15.75" customHeight="1">
      <c r="A23" s="27" t="s">
        <v>36</v>
      </c>
      <c r="B23" s="27">
        <v>2.0</v>
      </c>
      <c r="C23" s="27">
        <v>1.0</v>
      </c>
      <c r="D23" s="28">
        <v>100.0</v>
      </c>
      <c r="E23" s="27">
        <v>26000.0</v>
      </c>
      <c r="F23" s="27">
        <v>200.0</v>
      </c>
      <c r="G23" s="29">
        <v>3.85</v>
      </c>
    </row>
    <row r="24" ht="15.75" customHeight="1">
      <c r="A24" s="30" t="s">
        <v>37</v>
      </c>
      <c r="B24" s="30">
        <v>4.0</v>
      </c>
      <c r="C24" s="30">
        <v>4.0</v>
      </c>
      <c r="D24" s="31">
        <v>2550.0</v>
      </c>
      <c r="E24" s="30">
        <v>296600.0</v>
      </c>
      <c r="F24" s="30">
        <v>3836.0</v>
      </c>
      <c r="G24" s="32">
        <v>8.6</v>
      </c>
    </row>
    <row r="25" ht="15.75" customHeight="1">
      <c r="A25" s="27" t="s">
        <v>38</v>
      </c>
      <c r="B25" s="27">
        <v>4.0</v>
      </c>
      <c r="C25" s="27">
        <v>3.0</v>
      </c>
      <c r="D25" s="28">
        <v>530.0</v>
      </c>
      <c r="E25" s="27">
        <v>105890.0</v>
      </c>
      <c r="F25" s="27">
        <v>1250.0</v>
      </c>
      <c r="G25" s="29">
        <v>5.01</v>
      </c>
    </row>
    <row r="26" ht="15.75" customHeight="1">
      <c r="A26" s="30" t="s">
        <v>39</v>
      </c>
      <c r="B26" s="30">
        <v>3.0</v>
      </c>
      <c r="C26" s="30">
        <v>4.0</v>
      </c>
      <c r="D26" s="31">
        <v>2880.0</v>
      </c>
      <c r="E26" s="30">
        <v>452000.0</v>
      </c>
      <c r="F26" s="30">
        <v>3826.0</v>
      </c>
      <c r="G26" s="32">
        <v>6.37</v>
      </c>
    </row>
    <row r="27" ht="15.75" customHeight="1">
      <c r="A27" s="27" t="s">
        <v>40</v>
      </c>
      <c r="B27" s="27">
        <v>4.0</v>
      </c>
      <c r="C27" s="27">
        <v>3.0</v>
      </c>
      <c r="D27" s="28">
        <v>1650.0</v>
      </c>
      <c r="E27" s="27">
        <v>276210.0</v>
      </c>
      <c r="F27" s="27">
        <v>2396.0</v>
      </c>
      <c r="G27" s="29">
        <v>5.98</v>
      </c>
    </row>
    <row r="28" ht="15.75" customHeight="1">
      <c r="A28" s="30" t="s">
        <v>41</v>
      </c>
      <c r="B28" s="30">
        <v>4.0</v>
      </c>
      <c r="C28" s="30">
        <v>5.0</v>
      </c>
      <c r="D28" s="31">
        <v>3350.0</v>
      </c>
      <c r="E28" s="30">
        <v>532000.0</v>
      </c>
      <c r="F28" s="30">
        <v>4920.0</v>
      </c>
      <c r="G28" s="32">
        <v>6.3</v>
      </c>
    </row>
    <row r="29" ht="15.75" customHeight="1">
      <c r="A29" s="27" t="s">
        <v>42</v>
      </c>
      <c r="B29" s="27">
        <v>4.0</v>
      </c>
      <c r="C29" s="27">
        <v>4.0</v>
      </c>
      <c r="D29" s="28">
        <v>1140.0</v>
      </c>
      <c r="E29" s="27">
        <v>173000.0</v>
      </c>
      <c r="F29" s="27">
        <v>1620.0</v>
      </c>
      <c r="G29" s="29">
        <v>6.59</v>
      </c>
    </row>
    <row r="30" ht="15.75" customHeight="1">
      <c r="A30" s="30" t="s">
        <v>43</v>
      </c>
      <c r="B30" s="30">
        <v>4.0</v>
      </c>
      <c r="C30" s="30">
        <v>5.0</v>
      </c>
      <c r="D30" s="31">
        <v>4750.0</v>
      </c>
      <c r="E30" s="30">
        <v>748000.0</v>
      </c>
      <c r="F30" s="30">
        <v>7280.0</v>
      </c>
      <c r="G30" s="32">
        <v>6.35</v>
      </c>
    </row>
    <row r="31" ht="15.75" customHeight="1">
      <c r="A31" s="27" t="s">
        <v>44</v>
      </c>
      <c r="B31" s="27">
        <v>3.0</v>
      </c>
      <c r="C31" s="27">
        <v>3.0</v>
      </c>
      <c r="D31" s="28">
        <v>630.0</v>
      </c>
      <c r="E31" s="27">
        <v>107100.0</v>
      </c>
      <c r="F31" s="27">
        <v>970.0</v>
      </c>
      <c r="G31" s="29">
        <v>5.88</v>
      </c>
    </row>
    <row r="32" ht="15.75" customHeight="1">
      <c r="A32" s="30" t="s">
        <v>45</v>
      </c>
      <c r="B32" s="30">
        <v>3.0</v>
      </c>
      <c r="C32" s="30">
        <v>2.0</v>
      </c>
      <c r="D32" s="31">
        <v>450.0</v>
      </c>
      <c r="E32" s="30">
        <v>75600.0</v>
      </c>
      <c r="F32" s="30">
        <v>740.0</v>
      </c>
      <c r="G32" s="32">
        <v>5.95</v>
      </c>
    </row>
    <row r="33" ht="15.75" customHeight="1">
      <c r="A33" s="27" t="s">
        <v>46</v>
      </c>
      <c r="B33" s="27">
        <v>4.0</v>
      </c>
      <c r="C33" s="27">
        <v>5.0</v>
      </c>
      <c r="D33" s="28">
        <v>5750.0</v>
      </c>
      <c r="E33" s="27">
        <v>710000.0</v>
      </c>
      <c r="F33" s="27">
        <v>8200.0</v>
      </c>
      <c r="G33" s="29">
        <v>8.1</v>
      </c>
    </row>
    <row r="34" ht="15.75" customHeight="1">
      <c r="A34" s="30" t="s">
        <v>47</v>
      </c>
      <c r="B34" s="30">
        <v>4.0</v>
      </c>
      <c r="C34" s="30">
        <v>4.0</v>
      </c>
      <c r="D34" s="31">
        <v>3050.0</v>
      </c>
      <c r="E34" s="30">
        <v>498000.0</v>
      </c>
      <c r="F34" s="30">
        <v>4980.0</v>
      </c>
      <c r="G34" s="32">
        <v>6.12</v>
      </c>
    </row>
    <row r="35" ht="15.75" customHeight="1">
      <c r="A35" s="27" t="s">
        <v>48</v>
      </c>
      <c r="B35" s="27">
        <v>4.0</v>
      </c>
      <c r="C35" s="27">
        <v>4.0</v>
      </c>
      <c r="D35" s="28">
        <v>5870.0</v>
      </c>
      <c r="E35" s="27">
        <v>628000.0</v>
      </c>
      <c r="F35" s="27">
        <v>5100.0</v>
      </c>
      <c r="G35" s="29">
        <v>9.35</v>
      </c>
    </row>
    <row r="36" ht="15.75" customHeight="1">
      <c r="A36" s="30" t="s">
        <v>49</v>
      </c>
      <c r="B36" s="30">
        <v>2.0</v>
      </c>
      <c r="C36" s="30">
        <v>2.0</v>
      </c>
      <c r="D36" s="31">
        <v>220.0</v>
      </c>
      <c r="E36" s="30">
        <v>21070.0</v>
      </c>
      <c r="F36" s="30">
        <v>280.0</v>
      </c>
      <c r="G36" s="32">
        <v>10.44</v>
      </c>
    </row>
    <row r="37" ht="6.0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1:N4"/>
    <mergeCell ref="A5:N5"/>
    <mergeCell ref="A7:C7"/>
    <mergeCell ref="D7:F7"/>
    <mergeCell ref="G7:I7"/>
    <mergeCell ref="J7:L7"/>
    <mergeCell ref="A8:C8"/>
    <mergeCell ref="J8:L8"/>
    <mergeCell ref="D8:F8"/>
    <mergeCell ref="G8:I8"/>
    <mergeCell ref="A9:C9"/>
    <mergeCell ref="D9:F9"/>
    <mergeCell ref="G9:I9"/>
    <mergeCell ref="J9:L9"/>
    <mergeCell ref="A10:C10"/>
    <mergeCell ref="J10:L10"/>
    <mergeCell ref="D14:F14"/>
    <mergeCell ref="G14:I14"/>
    <mergeCell ref="D10:F10"/>
    <mergeCell ref="G10:I10"/>
    <mergeCell ref="A13:C13"/>
    <mergeCell ref="D13:F13"/>
    <mergeCell ref="G13:I13"/>
    <mergeCell ref="J13:L13"/>
    <mergeCell ref="J14:L14"/>
    <mergeCell ref="G16:I16"/>
    <mergeCell ref="J16:L16"/>
    <mergeCell ref="A14:C14"/>
    <mergeCell ref="A15:C15"/>
    <mergeCell ref="D15:F15"/>
    <mergeCell ref="G15:I15"/>
    <mergeCell ref="J15:L15"/>
    <mergeCell ref="A16:C16"/>
    <mergeCell ref="D16:F1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A3A0"/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18.0"/>
    <col customWidth="1" min="3" max="3" width="12.0"/>
    <col customWidth="1" min="4" max="4" width="14.0"/>
    <col customWidth="1" min="5" max="7" width="10.0"/>
    <col customWidth="1" min="8" max="8" width="12.0"/>
    <col customWidth="1" min="9" max="12" width="10.0"/>
    <col customWidth="1" min="13" max="16" width="8.0"/>
    <col customWidth="1" min="17" max="26" width="8.71"/>
  </cols>
  <sheetData>
    <row r="1">
      <c r="A1" s="33" t="s">
        <v>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>
      <c r="A2" s="4"/>
      <c r="P2" s="5"/>
    </row>
    <row r="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8"/>
    </row>
    <row r="4" ht="6.0" customHeight="1"/>
    <row r="5" ht="27.75" customHeight="1">
      <c r="A5" s="34" t="s">
        <v>51</v>
      </c>
      <c r="B5" s="34" t="s">
        <v>52</v>
      </c>
      <c r="C5" s="34" t="s">
        <v>53</v>
      </c>
      <c r="D5" s="34" t="s">
        <v>54</v>
      </c>
      <c r="E5" s="34" t="s">
        <v>55</v>
      </c>
      <c r="F5" s="34" t="s">
        <v>56</v>
      </c>
      <c r="G5" s="34" t="s">
        <v>57</v>
      </c>
      <c r="H5" s="34" t="s">
        <v>58</v>
      </c>
      <c r="I5" s="34" t="s">
        <v>59</v>
      </c>
      <c r="J5" s="34" t="s">
        <v>32</v>
      </c>
      <c r="K5" s="34" t="s">
        <v>60</v>
      </c>
      <c r="L5" s="34" t="s">
        <v>61</v>
      </c>
      <c r="M5" s="34" t="s">
        <v>62</v>
      </c>
      <c r="N5" s="34" t="s">
        <v>63</v>
      </c>
      <c r="O5" s="34" t="s">
        <v>64</v>
      </c>
      <c r="P5" s="34" t="s">
        <v>65</v>
      </c>
    </row>
    <row r="6">
      <c r="A6" s="35">
        <v>1.0</v>
      </c>
      <c r="B6" s="35" t="s">
        <v>66</v>
      </c>
      <c r="C6" s="35" t="s">
        <v>67</v>
      </c>
      <c r="D6" s="35" t="s">
        <v>68</v>
      </c>
      <c r="E6" s="35" t="s">
        <v>69</v>
      </c>
      <c r="F6" s="36">
        <v>500.0</v>
      </c>
      <c r="G6" s="36">
        <v>500.0</v>
      </c>
      <c r="H6" s="37">
        <v>298100.0</v>
      </c>
      <c r="I6" s="37">
        <v>20875.0</v>
      </c>
      <c r="J6" s="37">
        <v>75.0</v>
      </c>
      <c r="K6" s="37">
        <v>3130.0</v>
      </c>
      <c r="L6" s="38">
        <v>11.6</v>
      </c>
      <c r="M6" s="39">
        <v>0.07</v>
      </c>
      <c r="N6" s="39">
        <v>0.0036</v>
      </c>
      <c r="O6" s="40">
        <v>23.95</v>
      </c>
      <c r="P6" s="41">
        <v>0.02</v>
      </c>
    </row>
    <row r="7">
      <c r="A7" s="35">
        <v>2.0</v>
      </c>
      <c r="B7" s="35" t="s">
        <v>66</v>
      </c>
      <c r="C7" s="35" t="s">
        <v>67</v>
      </c>
      <c r="D7" s="35" t="s">
        <v>70</v>
      </c>
      <c r="E7" s="35" t="s">
        <v>71</v>
      </c>
      <c r="F7" s="36">
        <v>750.0</v>
      </c>
      <c r="G7" s="36">
        <v>750.0</v>
      </c>
      <c r="H7" s="37">
        <v>360000.0</v>
      </c>
      <c r="I7" s="37">
        <v>25210.0</v>
      </c>
      <c r="J7" s="37">
        <v>305.0</v>
      </c>
      <c r="K7" s="37">
        <v>3780.0</v>
      </c>
      <c r="L7" s="38">
        <v>14.0</v>
      </c>
      <c r="M7" s="39">
        <v>0.07</v>
      </c>
      <c r="N7" s="39">
        <v>0.0121</v>
      </c>
      <c r="O7" s="40">
        <v>29.75</v>
      </c>
      <c r="P7" s="41">
        <v>0.02</v>
      </c>
    </row>
    <row r="8">
      <c r="A8" s="42">
        <v>3.0</v>
      </c>
      <c r="B8" s="42" t="s">
        <v>72</v>
      </c>
      <c r="C8" s="42" t="s">
        <v>73</v>
      </c>
      <c r="D8" s="42" t="s">
        <v>68</v>
      </c>
      <c r="E8" s="42" t="s">
        <v>74</v>
      </c>
      <c r="F8" s="43">
        <v>100.0</v>
      </c>
      <c r="G8" s="43">
        <v>100.0</v>
      </c>
      <c r="H8" s="44">
        <v>25500.0</v>
      </c>
      <c r="I8" s="44">
        <v>1785.0</v>
      </c>
      <c r="J8" s="44">
        <v>6.0</v>
      </c>
      <c r="K8" s="44">
        <v>267.0</v>
      </c>
      <c r="L8" s="45">
        <v>1.5</v>
      </c>
      <c r="M8" s="46">
        <v>0.07</v>
      </c>
      <c r="N8" s="46">
        <v>0.0034</v>
      </c>
      <c r="O8" s="47">
        <v>56.02</v>
      </c>
      <c r="P8" s="48">
        <v>0.01</v>
      </c>
    </row>
    <row r="9">
      <c r="A9" s="49">
        <v>4.0</v>
      </c>
      <c r="B9" s="49" t="s">
        <v>75</v>
      </c>
      <c r="C9" s="49" t="s">
        <v>76</v>
      </c>
      <c r="D9" s="49" t="s">
        <v>77</v>
      </c>
      <c r="E9" s="49" t="s">
        <v>78</v>
      </c>
      <c r="F9" s="50">
        <v>1000.0</v>
      </c>
      <c r="G9" s="50">
        <v>1000.0</v>
      </c>
      <c r="H9" s="51">
        <v>723000.0</v>
      </c>
      <c r="I9" s="51">
        <v>86820.0</v>
      </c>
      <c r="J9" s="51">
        <v>540.0</v>
      </c>
      <c r="K9" s="51">
        <v>13023.0</v>
      </c>
      <c r="L9" s="52">
        <v>72.2</v>
      </c>
      <c r="M9" s="53">
        <v>0.1201</v>
      </c>
      <c r="N9" s="53">
        <v>0.0062</v>
      </c>
      <c r="O9" s="54">
        <v>11.52</v>
      </c>
      <c r="P9" s="55">
        <v>0.04</v>
      </c>
    </row>
    <row r="10">
      <c r="A10" s="49">
        <v>5.0</v>
      </c>
      <c r="B10" s="49" t="s">
        <v>75</v>
      </c>
      <c r="C10" s="49" t="s">
        <v>76</v>
      </c>
      <c r="D10" s="49" t="s">
        <v>68</v>
      </c>
      <c r="E10" s="49" t="s">
        <v>79</v>
      </c>
      <c r="F10" s="50">
        <v>1200.0</v>
      </c>
      <c r="G10" s="50">
        <v>1200.0</v>
      </c>
      <c r="H10" s="51">
        <v>555000.0</v>
      </c>
      <c r="I10" s="51">
        <v>66600.0</v>
      </c>
      <c r="J10" s="51">
        <v>522.0</v>
      </c>
      <c r="K10" s="51">
        <v>19980.0</v>
      </c>
      <c r="L10" s="52">
        <v>55.4</v>
      </c>
      <c r="M10" s="53">
        <v>0.12</v>
      </c>
      <c r="N10" s="53">
        <v>0.0078</v>
      </c>
      <c r="O10" s="54">
        <v>18.02</v>
      </c>
      <c r="P10" s="55">
        <v>0.03</v>
      </c>
    </row>
    <row r="11">
      <c r="A11" s="56">
        <v>6.0</v>
      </c>
      <c r="B11" s="56" t="s">
        <v>80</v>
      </c>
      <c r="C11" s="56" t="s">
        <v>81</v>
      </c>
      <c r="D11" s="56" t="s">
        <v>70</v>
      </c>
      <c r="E11" s="56" t="s">
        <v>82</v>
      </c>
      <c r="F11" s="57">
        <v>300.0</v>
      </c>
      <c r="G11" s="57">
        <v>300.0</v>
      </c>
      <c r="H11" s="58">
        <v>81000.0</v>
      </c>
      <c r="I11" s="58">
        <v>5670.0</v>
      </c>
      <c r="J11" s="58">
        <v>66.0</v>
      </c>
      <c r="K11" s="58">
        <v>851.0</v>
      </c>
      <c r="L11" s="59">
        <v>4.7</v>
      </c>
      <c r="M11" s="60">
        <v>0.07</v>
      </c>
      <c r="N11" s="60">
        <v>0.0116</v>
      </c>
      <c r="O11" s="61">
        <v>52.91</v>
      </c>
      <c r="P11" s="62">
        <v>0.01</v>
      </c>
    </row>
    <row r="12">
      <c r="A12" s="56">
        <v>7.0</v>
      </c>
      <c r="B12" s="56" t="s">
        <v>80</v>
      </c>
      <c r="C12" s="56" t="s">
        <v>81</v>
      </c>
      <c r="D12" s="56" t="s">
        <v>68</v>
      </c>
      <c r="E12" s="56" t="s">
        <v>83</v>
      </c>
      <c r="F12" s="57">
        <v>500.0</v>
      </c>
      <c r="G12" s="57">
        <v>500.0</v>
      </c>
      <c r="H12" s="58">
        <v>132000.0</v>
      </c>
      <c r="I12" s="58">
        <v>9240.0</v>
      </c>
      <c r="J12" s="58">
        <v>90.0</v>
      </c>
      <c r="K12" s="58">
        <v>1386.0</v>
      </c>
      <c r="L12" s="59">
        <v>7.7</v>
      </c>
      <c r="M12" s="60">
        <v>0.07</v>
      </c>
      <c r="N12" s="60">
        <v>0.0097</v>
      </c>
      <c r="O12" s="61">
        <v>54.11</v>
      </c>
      <c r="P12" s="62">
        <v>0.01</v>
      </c>
    </row>
    <row r="13">
      <c r="A13" s="63">
        <v>8.0</v>
      </c>
      <c r="B13" s="63" t="s">
        <v>84</v>
      </c>
      <c r="C13" s="63" t="s">
        <v>85</v>
      </c>
      <c r="D13" s="63" t="s">
        <v>68</v>
      </c>
      <c r="E13" s="63" t="s">
        <v>86</v>
      </c>
      <c r="F13" s="64">
        <v>150.0</v>
      </c>
      <c r="G13" s="64">
        <v>150.0</v>
      </c>
      <c r="H13" s="65">
        <v>21000.0</v>
      </c>
      <c r="I13" s="65">
        <v>1470.0</v>
      </c>
      <c r="J13" s="65">
        <v>10.0</v>
      </c>
      <c r="K13" s="65">
        <v>220.0</v>
      </c>
      <c r="L13" s="66">
        <v>1.2</v>
      </c>
      <c r="M13" s="67">
        <v>0.07</v>
      </c>
      <c r="N13" s="67">
        <v>0.0068</v>
      </c>
      <c r="O13" s="68">
        <v>102.04</v>
      </c>
      <c r="P13" s="69">
        <v>0.0</v>
      </c>
    </row>
    <row r="14">
      <c r="A14" s="70">
        <v>9.0</v>
      </c>
      <c r="B14" s="70" t="s">
        <v>87</v>
      </c>
      <c r="C14" s="70" t="s">
        <v>88</v>
      </c>
      <c r="D14" s="70" t="s">
        <v>68</v>
      </c>
      <c r="E14" s="70" t="s">
        <v>89</v>
      </c>
      <c r="F14" s="71">
        <v>80.0</v>
      </c>
      <c r="G14" s="71">
        <v>80.0</v>
      </c>
      <c r="H14" s="72">
        <v>12000.0</v>
      </c>
      <c r="I14" s="72">
        <v>840.0</v>
      </c>
      <c r="J14" s="72">
        <v>5.0</v>
      </c>
      <c r="K14" s="72">
        <v>126.0</v>
      </c>
      <c r="L14" s="73">
        <v>0.7</v>
      </c>
      <c r="M14" s="74">
        <v>0.07</v>
      </c>
      <c r="N14" s="74">
        <v>0.006</v>
      </c>
      <c r="O14" s="75">
        <v>95.24</v>
      </c>
      <c r="P14" s="76">
        <v>0.01</v>
      </c>
    </row>
    <row r="15">
      <c r="A15" s="77">
        <v>10.0</v>
      </c>
      <c r="B15" s="77" t="s">
        <v>90</v>
      </c>
      <c r="C15" s="77" t="s">
        <v>91</v>
      </c>
      <c r="D15" s="77" t="s">
        <v>77</v>
      </c>
      <c r="E15" s="77" t="s">
        <v>92</v>
      </c>
      <c r="F15" s="78">
        <v>2000.0</v>
      </c>
      <c r="G15" s="78">
        <v>2000.0</v>
      </c>
      <c r="H15" s="79">
        <v>615000.0</v>
      </c>
      <c r="I15" s="79">
        <v>55350.0</v>
      </c>
      <c r="J15" s="79">
        <v>490.0</v>
      </c>
      <c r="K15" s="79">
        <v>9003.0</v>
      </c>
      <c r="L15" s="80">
        <v>45.9</v>
      </c>
      <c r="M15" s="81">
        <v>0.09</v>
      </c>
      <c r="N15" s="81">
        <v>0.0089</v>
      </c>
      <c r="O15" s="82">
        <v>36.13</v>
      </c>
      <c r="P15" s="83">
        <v>0.01</v>
      </c>
    </row>
    <row r="16">
      <c r="A16" s="77">
        <v>11.0</v>
      </c>
      <c r="B16" s="77" t="s">
        <v>90</v>
      </c>
      <c r="C16" s="77" t="s">
        <v>91</v>
      </c>
      <c r="D16" s="77" t="s">
        <v>70</v>
      </c>
      <c r="E16" s="77" t="s">
        <v>93</v>
      </c>
      <c r="F16" s="78">
        <v>2500.0</v>
      </c>
      <c r="G16" s="78">
        <v>2500.0</v>
      </c>
      <c r="H16" s="79">
        <v>1200000.0</v>
      </c>
      <c r="I16" s="79">
        <v>144000.0</v>
      </c>
      <c r="J16" s="79">
        <v>1230.0</v>
      </c>
      <c r="K16" s="79">
        <v>23400.0</v>
      </c>
      <c r="L16" s="80">
        <v>105.8</v>
      </c>
      <c r="M16" s="81">
        <v>0.12</v>
      </c>
      <c r="N16" s="81">
        <v>0.0085</v>
      </c>
      <c r="O16" s="82">
        <v>17.36</v>
      </c>
      <c r="P16" s="83">
        <v>0.03</v>
      </c>
    </row>
    <row r="17">
      <c r="A17" s="84">
        <v>12.0</v>
      </c>
      <c r="B17" s="84" t="s">
        <v>94</v>
      </c>
      <c r="C17" s="84" t="s">
        <v>95</v>
      </c>
      <c r="D17" s="84" t="s">
        <v>68</v>
      </c>
      <c r="E17" s="84" t="s">
        <v>96</v>
      </c>
      <c r="F17" s="85">
        <v>400.0</v>
      </c>
      <c r="G17" s="85">
        <v>400.0</v>
      </c>
      <c r="H17" s="86">
        <v>120000.0</v>
      </c>
      <c r="I17" s="86">
        <v>8400.0</v>
      </c>
      <c r="J17" s="86">
        <v>70.0</v>
      </c>
      <c r="K17" s="86">
        <v>1260.0</v>
      </c>
      <c r="L17" s="87">
        <v>7.0</v>
      </c>
      <c r="M17" s="88">
        <v>0.07</v>
      </c>
      <c r="N17" s="88">
        <v>0.0083</v>
      </c>
      <c r="O17" s="89">
        <v>47.62</v>
      </c>
      <c r="P17" s="90">
        <v>0.01</v>
      </c>
    </row>
    <row r="18">
      <c r="A18" s="49">
        <v>13.0</v>
      </c>
      <c r="B18" s="49" t="s">
        <v>97</v>
      </c>
      <c r="C18" s="49" t="s">
        <v>76</v>
      </c>
      <c r="D18" s="49" t="s">
        <v>68</v>
      </c>
      <c r="E18" s="49" t="s">
        <v>98</v>
      </c>
      <c r="F18" s="50">
        <v>250.0</v>
      </c>
      <c r="G18" s="50">
        <v>250.0</v>
      </c>
      <c r="H18" s="51">
        <v>82000.0</v>
      </c>
      <c r="I18" s="51">
        <v>5740.0</v>
      </c>
      <c r="J18" s="51">
        <v>40.0</v>
      </c>
      <c r="K18" s="51">
        <v>861.0</v>
      </c>
      <c r="L18" s="52">
        <v>4.8</v>
      </c>
      <c r="M18" s="53">
        <v>0.07</v>
      </c>
      <c r="N18" s="53">
        <v>0.007</v>
      </c>
      <c r="O18" s="54">
        <v>43.55</v>
      </c>
      <c r="P18" s="55">
        <v>0.01</v>
      </c>
    </row>
    <row r="19">
      <c r="A19" s="35">
        <v>14.0</v>
      </c>
      <c r="B19" s="35" t="s">
        <v>99</v>
      </c>
      <c r="C19" s="35" t="s">
        <v>67</v>
      </c>
      <c r="D19" s="35" t="s">
        <v>70</v>
      </c>
      <c r="E19" s="35" t="s">
        <v>100</v>
      </c>
      <c r="F19" s="36">
        <v>600.0</v>
      </c>
      <c r="G19" s="36">
        <v>600.0</v>
      </c>
      <c r="H19" s="37">
        <v>180000.0</v>
      </c>
      <c r="I19" s="37">
        <v>12600.0</v>
      </c>
      <c r="J19" s="37">
        <v>140.0</v>
      </c>
      <c r="K19" s="37">
        <v>1890.0</v>
      </c>
      <c r="L19" s="38">
        <v>10.5</v>
      </c>
      <c r="M19" s="39">
        <v>0.07</v>
      </c>
      <c r="N19" s="39">
        <v>0.0111</v>
      </c>
      <c r="O19" s="40">
        <v>47.62</v>
      </c>
      <c r="P19" s="41">
        <v>0.01</v>
      </c>
    </row>
    <row r="20">
      <c r="A20" s="56">
        <v>15.0</v>
      </c>
      <c r="B20" s="56" t="s">
        <v>101</v>
      </c>
      <c r="C20" s="56" t="s">
        <v>81</v>
      </c>
      <c r="D20" s="56" t="s">
        <v>68</v>
      </c>
      <c r="E20" s="56" t="s">
        <v>102</v>
      </c>
      <c r="F20" s="57">
        <v>1500.0</v>
      </c>
      <c r="G20" s="57">
        <v>1500.0</v>
      </c>
      <c r="H20" s="58">
        <v>465000.0</v>
      </c>
      <c r="I20" s="58">
        <v>32550.0</v>
      </c>
      <c r="J20" s="58">
        <v>300.0</v>
      </c>
      <c r="K20" s="58">
        <v>4883.0</v>
      </c>
      <c r="L20" s="59">
        <v>27.1</v>
      </c>
      <c r="M20" s="60">
        <v>0.07</v>
      </c>
      <c r="N20" s="60">
        <v>0.0092</v>
      </c>
      <c r="O20" s="61">
        <v>46.08</v>
      </c>
      <c r="P20" s="62">
        <v>0.01</v>
      </c>
    </row>
    <row r="21" ht="15.75" customHeight="1">
      <c r="A21" s="56">
        <v>16.0</v>
      </c>
      <c r="B21" s="56" t="s">
        <v>101</v>
      </c>
      <c r="C21" s="56" t="s">
        <v>81</v>
      </c>
      <c r="D21" s="56" t="s">
        <v>70</v>
      </c>
      <c r="E21" s="56" t="s">
        <v>103</v>
      </c>
      <c r="F21" s="57">
        <v>2000.0</v>
      </c>
      <c r="G21" s="57">
        <v>2000.0</v>
      </c>
      <c r="H21" s="58">
        <v>650000.0</v>
      </c>
      <c r="I21" s="58">
        <v>52000.0</v>
      </c>
      <c r="J21" s="58">
        <v>710.0</v>
      </c>
      <c r="K21" s="58">
        <v>7800.0</v>
      </c>
      <c r="L21" s="59">
        <v>43.3</v>
      </c>
      <c r="M21" s="60">
        <v>0.08</v>
      </c>
      <c r="N21" s="60">
        <v>0.0137</v>
      </c>
      <c r="O21" s="61">
        <v>38.46</v>
      </c>
      <c r="P21" s="62">
        <v>0.01</v>
      </c>
    </row>
    <row r="22" ht="15.75" customHeight="1">
      <c r="A22" s="42">
        <v>17.0</v>
      </c>
      <c r="B22" s="42" t="s">
        <v>104</v>
      </c>
      <c r="C22" s="42" t="s">
        <v>73</v>
      </c>
      <c r="D22" s="42" t="s">
        <v>77</v>
      </c>
      <c r="E22" s="42" t="s">
        <v>105</v>
      </c>
      <c r="F22" s="43">
        <v>120.0</v>
      </c>
      <c r="G22" s="43">
        <v>120.0</v>
      </c>
      <c r="H22" s="44">
        <v>27300.0</v>
      </c>
      <c r="I22" s="44">
        <v>1911.0</v>
      </c>
      <c r="J22" s="44">
        <v>10.0</v>
      </c>
      <c r="K22" s="44">
        <v>287.0</v>
      </c>
      <c r="L22" s="45">
        <v>1.6</v>
      </c>
      <c r="M22" s="46">
        <v>0.07</v>
      </c>
      <c r="N22" s="46">
        <v>0.0052</v>
      </c>
      <c r="O22" s="47">
        <v>62.79</v>
      </c>
      <c r="P22" s="48">
        <v>0.01</v>
      </c>
    </row>
    <row r="23" ht="15.75" customHeight="1">
      <c r="A23" s="77">
        <v>18.0</v>
      </c>
      <c r="B23" s="77" t="s">
        <v>106</v>
      </c>
      <c r="C23" s="77" t="s">
        <v>91</v>
      </c>
      <c r="D23" s="77" t="s">
        <v>68</v>
      </c>
      <c r="E23" s="77" t="s">
        <v>107</v>
      </c>
      <c r="F23" s="78">
        <v>800.0</v>
      </c>
      <c r="G23" s="78">
        <v>800.0</v>
      </c>
      <c r="H23" s="79">
        <v>210000.0</v>
      </c>
      <c r="I23" s="79">
        <v>14700.0</v>
      </c>
      <c r="J23" s="79">
        <v>120.0</v>
      </c>
      <c r="K23" s="79">
        <v>2205.0</v>
      </c>
      <c r="L23" s="80">
        <v>12.2</v>
      </c>
      <c r="M23" s="81">
        <v>0.07</v>
      </c>
      <c r="N23" s="81">
        <v>0.0082</v>
      </c>
      <c r="O23" s="82">
        <v>54.42</v>
      </c>
      <c r="P23" s="83">
        <v>0.01</v>
      </c>
    </row>
    <row r="24" ht="15.75" customHeight="1">
      <c r="A24" s="70">
        <v>19.0</v>
      </c>
      <c r="B24" s="70" t="s">
        <v>108</v>
      </c>
      <c r="C24" s="70" t="s">
        <v>88</v>
      </c>
      <c r="D24" s="70" t="s">
        <v>68</v>
      </c>
      <c r="E24" s="70" t="s">
        <v>109</v>
      </c>
      <c r="F24" s="71">
        <v>90.0</v>
      </c>
      <c r="G24" s="71">
        <v>90.0</v>
      </c>
      <c r="H24" s="72">
        <v>75000.0</v>
      </c>
      <c r="I24" s="72">
        <v>5250.0</v>
      </c>
      <c r="J24" s="72">
        <v>30.0</v>
      </c>
      <c r="K24" s="72">
        <v>788.0</v>
      </c>
      <c r="L24" s="73">
        <v>4.4</v>
      </c>
      <c r="M24" s="74">
        <v>0.07</v>
      </c>
      <c r="N24" s="74">
        <v>0.0057</v>
      </c>
      <c r="O24" s="75">
        <v>17.14</v>
      </c>
      <c r="P24" s="76">
        <v>0.03</v>
      </c>
    </row>
    <row r="25" ht="15.75" customHeight="1">
      <c r="A25" s="84">
        <v>20.0</v>
      </c>
      <c r="B25" s="84" t="s">
        <v>110</v>
      </c>
      <c r="C25" s="84" t="s">
        <v>95</v>
      </c>
      <c r="D25" s="84" t="s">
        <v>77</v>
      </c>
      <c r="E25" s="84" t="s">
        <v>111</v>
      </c>
      <c r="F25" s="85">
        <v>350.0</v>
      </c>
      <c r="G25" s="85">
        <v>350.0</v>
      </c>
      <c r="H25" s="86">
        <v>84000.0</v>
      </c>
      <c r="I25" s="86">
        <v>5880.0</v>
      </c>
      <c r="J25" s="86">
        <v>42.0</v>
      </c>
      <c r="K25" s="86">
        <v>882.0</v>
      </c>
      <c r="L25" s="87">
        <v>4.9</v>
      </c>
      <c r="M25" s="88">
        <v>0.07</v>
      </c>
      <c r="N25" s="88">
        <v>0.0071</v>
      </c>
      <c r="O25" s="89">
        <v>59.52</v>
      </c>
      <c r="P25" s="90">
        <v>0.01</v>
      </c>
    </row>
    <row r="26" ht="15.75" customHeight="1">
      <c r="A26" s="35">
        <v>21.0</v>
      </c>
      <c r="B26" s="35" t="s">
        <v>112</v>
      </c>
      <c r="C26" s="35" t="s">
        <v>67</v>
      </c>
      <c r="D26" s="35" t="s">
        <v>70</v>
      </c>
      <c r="E26" s="35" t="s">
        <v>113</v>
      </c>
      <c r="F26" s="36">
        <v>1200.0</v>
      </c>
      <c r="G26" s="36">
        <v>1200.0</v>
      </c>
      <c r="H26" s="37">
        <v>330000.0</v>
      </c>
      <c r="I26" s="37">
        <v>23100.0</v>
      </c>
      <c r="J26" s="37">
        <v>220.0</v>
      </c>
      <c r="K26" s="37">
        <v>3465.0</v>
      </c>
      <c r="L26" s="38">
        <v>19.2</v>
      </c>
      <c r="M26" s="39">
        <v>0.07</v>
      </c>
      <c r="N26" s="39">
        <v>0.0095</v>
      </c>
      <c r="O26" s="40">
        <v>51.95</v>
      </c>
      <c r="P26" s="41">
        <v>0.01</v>
      </c>
    </row>
    <row r="27" ht="15.75" customHeight="1">
      <c r="A27" s="49">
        <v>22.0</v>
      </c>
      <c r="B27" s="49" t="s">
        <v>114</v>
      </c>
      <c r="C27" s="49" t="s">
        <v>76</v>
      </c>
      <c r="D27" s="49" t="s">
        <v>68</v>
      </c>
      <c r="E27" s="49" t="s">
        <v>115</v>
      </c>
      <c r="F27" s="50">
        <v>200.0</v>
      </c>
      <c r="G27" s="50">
        <v>200.0</v>
      </c>
      <c r="H27" s="51">
        <v>54000.0</v>
      </c>
      <c r="I27" s="51">
        <v>3780.0</v>
      </c>
      <c r="J27" s="51">
        <v>20.0</v>
      </c>
      <c r="K27" s="51">
        <v>567.0</v>
      </c>
      <c r="L27" s="52">
        <v>3.1</v>
      </c>
      <c r="M27" s="53">
        <v>0.07</v>
      </c>
      <c r="N27" s="53">
        <v>0.0053</v>
      </c>
      <c r="O27" s="54">
        <v>52.91</v>
      </c>
      <c r="P27" s="55">
        <v>0.01</v>
      </c>
    </row>
    <row r="28" ht="15.75" customHeight="1">
      <c r="A28" s="63">
        <v>23.0</v>
      </c>
      <c r="B28" s="63" t="s">
        <v>116</v>
      </c>
      <c r="C28" s="63" t="s">
        <v>85</v>
      </c>
      <c r="D28" s="63" t="s">
        <v>68</v>
      </c>
      <c r="E28" s="63" t="s">
        <v>117</v>
      </c>
      <c r="F28" s="64">
        <v>280.0</v>
      </c>
      <c r="G28" s="64">
        <v>280.0</v>
      </c>
      <c r="H28" s="65">
        <v>84000.0</v>
      </c>
      <c r="I28" s="65">
        <v>5880.0</v>
      </c>
      <c r="J28" s="65">
        <v>40.0</v>
      </c>
      <c r="K28" s="65">
        <v>882.0</v>
      </c>
      <c r="L28" s="66">
        <v>4.9</v>
      </c>
      <c r="M28" s="67">
        <v>0.07</v>
      </c>
      <c r="N28" s="67">
        <v>0.0068</v>
      </c>
      <c r="O28" s="68">
        <v>47.62</v>
      </c>
      <c r="P28" s="69">
        <v>0.01</v>
      </c>
    </row>
    <row r="29" ht="15.75" customHeight="1">
      <c r="A29" s="42">
        <v>24.0</v>
      </c>
      <c r="B29" s="42" t="s">
        <v>118</v>
      </c>
      <c r="C29" s="42" t="s">
        <v>73</v>
      </c>
      <c r="D29" s="42" t="s">
        <v>77</v>
      </c>
      <c r="E29" s="42" t="s">
        <v>119</v>
      </c>
      <c r="F29" s="43">
        <v>150.0</v>
      </c>
      <c r="G29" s="43">
        <v>150.0</v>
      </c>
      <c r="H29" s="44">
        <v>39000.0</v>
      </c>
      <c r="I29" s="44">
        <v>2730.0</v>
      </c>
      <c r="J29" s="44">
        <v>12.0</v>
      </c>
      <c r="K29" s="44">
        <v>410.0</v>
      </c>
      <c r="L29" s="45">
        <v>2.3</v>
      </c>
      <c r="M29" s="46">
        <v>0.07</v>
      </c>
      <c r="N29" s="46">
        <v>0.0044</v>
      </c>
      <c r="O29" s="47">
        <v>54.95</v>
      </c>
      <c r="P29" s="48">
        <v>0.01</v>
      </c>
    </row>
    <row r="30" ht="15.75" customHeight="1">
      <c r="A30" s="77">
        <v>25.0</v>
      </c>
      <c r="B30" s="77" t="s">
        <v>120</v>
      </c>
      <c r="C30" s="77" t="s">
        <v>91</v>
      </c>
      <c r="D30" s="77" t="s">
        <v>68</v>
      </c>
      <c r="E30" s="77" t="s">
        <v>121</v>
      </c>
      <c r="F30" s="78">
        <v>2200.0</v>
      </c>
      <c r="G30" s="78">
        <v>2200.0</v>
      </c>
      <c r="H30" s="79">
        <v>315000.0</v>
      </c>
      <c r="I30" s="79">
        <v>22050.0</v>
      </c>
      <c r="J30" s="79">
        <v>240.0</v>
      </c>
      <c r="K30" s="79">
        <v>3308.0</v>
      </c>
      <c r="L30" s="80">
        <v>18.4</v>
      </c>
      <c r="M30" s="81">
        <v>0.07</v>
      </c>
      <c r="N30" s="81">
        <v>0.0109</v>
      </c>
      <c r="O30" s="82">
        <v>99.77</v>
      </c>
      <c r="P30" s="83">
        <v>0.01</v>
      </c>
    </row>
    <row r="31" ht="15.75" customHeight="1">
      <c r="A31" s="84">
        <v>26.0</v>
      </c>
      <c r="B31" s="84" t="s">
        <v>122</v>
      </c>
      <c r="C31" s="84" t="s">
        <v>95</v>
      </c>
      <c r="D31" s="84" t="s">
        <v>70</v>
      </c>
      <c r="E31" s="84" t="s">
        <v>123</v>
      </c>
      <c r="F31" s="85">
        <v>400.0</v>
      </c>
      <c r="G31" s="85">
        <v>400.0</v>
      </c>
      <c r="H31" s="86">
        <v>108000.0</v>
      </c>
      <c r="I31" s="86">
        <v>7560.0</v>
      </c>
      <c r="J31" s="86">
        <v>80.0</v>
      </c>
      <c r="K31" s="86">
        <v>1134.0</v>
      </c>
      <c r="L31" s="87">
        <v>6.3</v>
      </c>
      <c r="M31" s="88">
        <v>0.07</v>
      </c>
      <c r="N31" s="88">
        <v>0.0106</v>
      </c>
      <c r="O31" s="89">
        <v>52.91</v>
      </c>
      <c r="P31" s="90">
        <v>0.01</v>
      </c>
    </row>
    <row r="32" ht="15.75" customHeight="1">
      <c r="A32" s="35">
        <v>27.0</v>
      </c>
      <c r="B32" s="35" t="s">
        <v>124</v>
      </c>
      <c r="C32" s="35" t="s">
        <v>67</v>
      </c>
      <c r="D32" s="35" t="s">
        <v>68</v>
      </c>
      <c r="E32" s="35" t="s">
        <v>125</v>
      </c>
      <c r="F32" s="36">
        <v>550.0</v>
      </c>
      <c r="G32" s="36">
        <v>550.0</v>
      </c>
      <c r="H32" s="37">
        <v>168000.0</v>
      </c>
      <c r="I32" s="37">
        <v>11760.0</v>
      </c>
      <c r="J32" s="37">
        <v>100.0</v>
      </c>
      <c r="K32" s="37">
        <v>1764.0</v>
      </c>
      <c r="L32" s="38">
        <v>9.8</v>
      </c>
      <c r="M32" s="39">
        <v>0.07</v>
      </c>
      <c r="N32" s="39">
        <v>0.0085</v>
      </c>
      <c r="O32" s="40">
        <v>46.77</v>
      </c>
      <c r="P32" s="41">
        <v>0.01</v>
      </c>
    </row>
    <row r="33" ht="15.75" customHeight="1">
      <c r="A33" s="49">
        <v>28.0</v>
      </c>
      <c r="B33" s="49" t="s">
        <v>126</v>
      </c>
      <c r="C33" s="49" t="s">
        <v>76</v>
      </c>
      <c r="D33" s="49" t="s">
        <v>68</v>
      </c>
      <c r="E33" s="49" t="s">
        <v>127</v>
      </c>
      <c r="F33" s="50">
        <v>500.0</v>
      </c>
      <c r="G33" s="50">
        <v>500.0</v>
      </c>
      <c r="H33" s="51">
        <v>390000.0</v>
      </c>
      <c r="I33" s="51">
        <v>46800.0</v>
      </c>
      <c r="J33" s="51">
        <v>360.0</v>
      </c>
      <c r="K33" s="51">
        <v>7020.0</v>
      </c>
      <c r="L33" s="52">
        <v>39.0</v>
      </c>
      <c r="M33" s="53">
        <v>0.12</v>
      </c>
      <c r="N33" s="53">
        <v>0.0077</v>
      </c>
      <c r="O33" s="54">
        <v>10.68</v>
      </c>
      <c r="P33" s="55">
        <v>0.05</v>
      </c>
    </row>
    <row r="34" ht="15.75" customHeight="1">
      <c r="A34" s="56">
        <v>29.0</v>
      </c>
      <c r="B34" s="56" t="s">
        <v>128</v>
      </c>
      <c r="C34" s="56" t="s">
        <v>81</v>
      </c>
      <c r="D34" s="56" t="s">
        <v>70</v>
      </c>
      <c r="E34" s="56" t="s">
        <v>129</v>
      </c>
      <c r="F34" s="57">
        <v>1800.0</v>
      </c>
      <c r="G34" s="57">
        <v>1800.0</v>
      </c>
      <c r="H34" s="58">
        <v>252000.0</v>
      </c>
      <c r="I34" s="58">
        <v>22680.0</v>
      </c>
      <c r="J34" s="58">
        <v>288.0</v>
      </c>
      <c r="K34" s="58">
        <v>3402.0</v>
      </c>
      <c r="L34" s="59">
        <v>18.9</v>
      </c>
      <c r="M34" s="60">
        <v>0.09</v>
      </c>
      <c r="N34" s="60">
        <v>0.0127</v>
      </c>
      <c r="O34" s="61">
        <v>79.37</v>
      </c>
      <c r="P34" s="62">
        <v>0.01</v>
      </c>
    </row>
    <row r="35" ht="15.75" customHeight="1">
      <c r="A35" s="42">
        <v>30.0</v>
      </c>
      <c r="B35" s="42" t="s">
        <v>130</v>
      </c>
      <c r="C35" s="42" t="s">
        <v>73</v>
      </c>
      <c r="D35" s="42" t="s">
        <v>77</v>
      </c>
      <c r="E35" s="42" t="s">
        <v>131</v>
      </c>
      <c r="F35" s="43">
        <v>350.0</v>
      </c>
      <c r="G35" s="43">
        <v>175.0</v>
      </c>
      <c r="H35" s="44">
        <v>48000.0</v>
      </c>
      <c r="I35" s="44">
        <v>3360.0</v>
      </c>
      <c r="J35" s="44">
        <v>24.0</v>
      </c>
      <c r="K35" s="44">
        <v>504.0</v>
      </c>
      <c r="L35" s="45">
        <v>2.8</v>
      </c>
      <c r="M35" s="46">
        <v>0.07</v>
      </c>
      <c r="N35" s="46">
        <v>0.0071</v>
      </c>
      <c r="O35" s="47">
        <v>52.08</v>
      </c>
      <c r="P35" s="48">
        <v>0.01</v>
      </c>
    </row>
    <row r="36" ht="15.75" customHeight="1">
      <c r="A36" s="84">
        <v>31.0</v>
      </c>
      <c r="B36" s="84" t="s">
        <v>132</v>
      </c>
      <c r="C36" s="84" t="s">
        <v>95</v>
      </c>
      <c r="D36" s="84" t="s">
        <v>68</v>
      </c>
      <c r="E36" s="84" t="s">
        <v>133</v>
      </c>
      <c r="F36" s="85">
        <v>220.0</v>
      </c>
      <c r="G36" s="85">
        <v>73.0</v>
      </c>
      <c r="H36" s="86">
        <v>11000.0</v>
      </c>
      <c r="I36" s="86">
        <v>770.0</v>
      </c>
      <c r="J36" s="86">
        <v>4.0</v>
      </c>
      <c r="K36" s="86">
        <v>116.0</v>
      </c>
      <c r="L36" s="87">
        <v>0.6</v>
      </c>
      <c r="M36" s="88">
        <v>0.07</v>
      </c>
      <c r="N36" s="88">
        <v>0.0052</v>
      </c>
      <c r="O36" s="89">
        <v>94.81</v>
      </c>
      <c r="P36" s="90">
        <v>0.01</v>
      </c>
    </row>
    <row r="37" ht="15.75" customHeight="1">
      <c r="A37" s="35">
        <v>32.0</v>
      </c>
      <c r="B37" s="35" t="s">
        <v>99</v>
      </c>
      <c r="C37" s="35" t="s">
        <v>67</v>
      </c>
      <c r="D37" s="35" t="s">
        <v>70</v>
      </c>
      <c r="E37" s="35" t="s">
        <v>134</v>
      </c>
      <c r="F37" s="36">
        <v>800.0</v>
      </c>
      <c r="G37" s="36">
        <v>800.0</v>
      </c>
      <c r="H37" s="37">
        <v>90000.0</v>
      </c>
      <c r="I37" s="37">
        <v>6300.0</v>
      </c>
      <c r="J37" s="37">
        <v>84.0</v>
      </c>
      <c r="K37" s="37">
        <v>945.0</v>
      </c>
      <c r="L37" s="38">
        <v>5.2</v>
      </c>
      <c r="M37" s="39">
        <v>0.07</v>
      </c>
      <c r="N37" s="39">
        <v>0.0133</v>
      </c>
      <c r="O37" s="40">
        <v>126.98</v>
      </c>
      <c r="P37" s="41">
        <v>0.0</v>
      </c>
    </row>
    <row r="38" ht="15.75" customHeight="1">
      <c r="A38" s="35">
        <v>33.0</v>
      </c>
      <c r="B38" s="35" t="s">
        <v>112</v>
      </c>
      <c r="C38" s="35" t="s">
        <v>67</v>
      </c>
      <c r="D38" s="35" t="s">
        <v>68</v>
      </c>
      <c r="E38" s="35" t="s">
        <v>135</v>
      </c>
      <c r="F38" s="36">
        <v>1500.0</v>
      </c>
      <c r="G38" s="36">
        <v>1500.0</v>
      </c>
      <c r="H38" s="37">
        <v>360000.0</v>
      </c>
      <c r="I38" s="37">
        <v>25200.0</v>
      </c>
      <c r="J38" s="37">
        <v>210.0</v>
      </c>
      <c r="K38" s="37">
        <v>3780.0</v>
      </c>
      <c r="L38" s="38">
        <v>21.0</v>
      </c>
      <c r="M38" s="39">
        <v>0.07</v>
      </c>
      <c r="N38" s="39">
        <v>0.0083</v>
      </c>
      <c r="O38" s="40">
        <v>59.52</v>
      </c>
      <c r="P38" s="41">
        <v>0.01</v>
      </c>
    </row>
    <row r="39" ht="15.75" customHeight="1">
      <c r="A39" s="77">
        <v>34.0</v>
      </c>
      <c r="B39" s="77" t="s">
        <v>90</v>
      </c>
      <c r="C39" s="77" t="s">
        <v>91</v>
      </c>
      <c r="D39" s="77" t="s">
        <v>77</v>
      </c>
      <c r="E39" s="77" t="s">
        <v>136</v>
      </c>
      <c r="F39" s="78">
        <v>3000.0</v>
      </c>
      <c r="G39" s="78">
        <v>1000.0</v>
      </c>
      <c r="H39" s="79">
        <v>330000.0</v>
      </c>
      <c r="I39" s="79">
        <v>39600.0</v>
      </c>
      <c r="J39" s="79">
        <v>315.0</v>
      </c>
      <c r="K39" s="79">
        <v>5940.0</v>
      </c>
      <c r="L39" s="80">
        <v>33.0</v>
      </c>
      <c r="M39" s="81">
        <v>0.12</v>
      </c>
      <c r="N39" s="81">
        <v>0.008</v>
      </c>
      <c r="O39" s="82">
        <v>25.25</v>
      </c>
      <c r="P39" s="83">
        <v>0.02</v>
      </c>
    </row>
    <row r="40" ht="15.75" customHeight="1">
      <c r="A40" s="91" t="s">
        <v>137</v>
      </c>
      <c r="B40" s="92"/>
      <c r="C40" s="92"/>
      <c r="D40" s="92"/>
      <c r="E40" s="92"/>
      <c r="F40" s="93">
        <f t="shared" ref="F40:L40" si="1">SUM(F6:F39)</f>
        <v>28340</v>
      </c>
      <c r="G40" s="93">
        <f t="shared" si="1"/>
        <v>26018</v>
      </c>
      <c r="H40" s="94">
        <f t="shared" si="1"/>
        <v>8494900</v>
      </c>
      <c r="I40" s="94">
        <f t="shared" si="1"/>
        <v>778461</v>
      </c>
      <c r="J40" s="94">
        <f t="shared" si="1"/>
        <v>6798</v>
      </c>
      <c r="K40" s="94">
        <f t="shared" si="1"/>
        <v>129259</v>
      </c>
      <c r="L40" s="95">
        <f t="shared" si="1"/>
        <v>621</v>
      </c>
      <c r="M40" s="96">
        <f t="shared" ref="M40:P40" si="2">AVERAGE(M6:M39)</f>
        <v>0.07882647059</v>
      </c>
      <c r="N40" s="96">
        <f t="shared" si="2"/>
        <v>0.008188235294</v>
      </c>
      <c r="O40" s="97">
        <f t="shared" si="2"/>
        <v>52.05352941</v>
      </c>
      <c r="P40" s="98">
        <f t="shared" si="2"/>
        <v>0.01411764706</v>
      </c>
    </row>
    <row r="41" ht="15.75" customHeight="1"/>
    <row r="42" ht="15.75" customHeight="1"/>
    <row r="43" ht="15.75" customHeight="1">
      <c r="A43" s="99" t="s">
        <v>53</v>
      </c>
      <c r="B43" s="99" t="s">
        <v>31</v>
      </c>
    </row>
    <row r="44" ht="15.75" customHeight="1">
      <c r="A44" s="100" t="s">
        <v>91</v>
      </c>
      <c r="B44" s="100">
        <v>275700.0</v>
      </c>
    </row>
    <row r="45" ht="15.75" customHeight="1">
      <c r="A45" s="100" t="s">
        <v>76</v>
      </c>
      <c r="B45" s="100">
        <v>209740.0</v>
      </c>
    </row>
    <row r="46" ht="15.75" customHeight="1">
      <c r="A46" s="100" t="s">
        <v>67</v>
      </c>
      <c r="B46" s="100">
        <v>125045.0</v>
      </c>
    </row>
    <row r="47" ht="15.75" customHeight="1">
      <c r="A47" s="100" t="s">
        <v>81</v>
      </c>
      <c r="B47" s="100">
        <v>122140.0</v>
      </c>
    </row>
    <row r="48" ht="15.75" customHeight="1">
      <c r="A48" s="100" t="s">
        <v>95</v>
      </c>
      <c r="B48" s="100">
        <v>22610.0</v>
      </c>
    </row>
    <row r="49" ht="15.75" customHeight="1">
      <c r="A49" s="100" t="s">
        <v>73</v>
      </c>
      <c r="B49" s="100">
        <v>9786.0</v>
      </c>
    </row>
    <row r="50" ht="15.75" customHeight="1">
      <c r="A50" s="100" t="s">
        <v>85</v>
      </c>
      <c r="B50" s="100">
        <v>7350.0</v>
      </c>
    </row>
    <row r="51" ht="15.75" customHeight="1">
      <c r="A51" s="100" t="s">
        <v>88</v>
      </c>
      <c r="B51" s="100">
        <v>6090.0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P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A621"/>
    <pageSetUpPr/>
  </sheetPr>
  <sheetViews>
    <sheetView showGridLines="0" workbookViewId="0"/>
  </sheetViews>
  <sheetFormatPr customHeight="1" defaultColWidth="14.43" defaultRowHeight="15.0"/>
  <cols>
    <col customWidth="1" min="1" max="1" width="13.0"/>
    <col customWidth="1" min="2" max="2" width="10.0"/>
    <col customWidth="1" min="3" max="6" width="8.0"/>
    <col customWidth="1" min="7" max="8" width="10.0"/>
    <col customWidth="1" min="9" max="9" width="18.0"/>
    <col customWidth="1" min="10" max="26" width="8.71"/>
  </cols>
  <sheetData>
    <row r="1">
      <c r="A1" s="101" t="s">
        <v>138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/>
      <c r="M2" s="5"/>
    </row>
    <row r="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8"/>
    </row>
    <row r="5">
      <c r="A5" s="24" t="s">
        <v>139</v>
      </c>
      <c r="B5" s="25"/>
      <c r="C5" s="25"/>
      <c r="D5" s="25"/>
      <c r="E5" s="25"/>
      <c r="F5" s="25"/>
      <c r="G5" s="25"/>
    </row>
    <row r="6" ht="24.0" customHeight="1">
      <c r="A6" s="102" t="s">
        <v>140</v>
      </c>
      <c r="B6" s="102" t="s">
        <v>141</v>
      </c>
      <c r="C6" s="102" t="s">
        <v>142</v>
      </c>
      <c r="D6" s="102" t="s">
        <v>143</v>
      </c>
      <c r="E6" s="102" t="s">
        <v>144</v>
      </c>
      <c r="F6" s="102" t="s">
        <v>145</v>
      </c>
      <c r="G6" s="102" t="s">
        <v>146</v>
      </c>
    </row>
    <row r="7" ht="24.0" customHeight="1">
      <c r="A7" s="103" t="s">
        <v>147</v>
      </c>
      <c r="B7" s="104">
        <v>30.0</v>
      </c>
      <c r="C7" s="105">
        <v>100.0</v>
      </c>
      <c r="D7" s="104">
        <v>0.0</v>
      </c>
      <c r="E7" s="105">
        <v>0.0</v>
      </c>
      <c r="F7" s="106" t="s">
        <v>148</v>
      </c>
      <c r="G7" s="106" t="s">
        <v>149</v>
      </c>
    </row>
    <row r="8" ht="24.0" customHeight="1">
      <c r="A8" s="107" t="s">
        <v>150</v>
      </c>
      <c r="B8" s="30">
        <v>26.0</v>
      </c>
      <c r="C8" s="108">
        <v>86.7</v>
      </c>
      <c r="D8" s="30">
        <v>4.0</v>
      </c>
      <c r="E8" s="109">
        <v>13.3</v>
      </c>
      <c r="F8" s="110" t="s">
        <v>151</v>
      </c>
      <c r="G8" s="110" t="s">
        <v>152</v>
      </c>
    </row>
    <row r="9" ht="24.0" customHeight="1">
      <c r="A9" s="103" t="s">
        <v>153</v>
      </c>
      <c r="B9" s="104">
        <v>14.0</v>
      </c>
      <c r="C9" s="105">
        <v>46.7</v>
      </c>
      <c r="D9" s="104">
        <v>12.0</v>
      </c>
      <c r="E9" s="111">
        <v>53.8</v>
      </c>
      <c r="F9" s="106" t="s">
        <v>154</v>
      </c>
      <c r="G9" s="106" t="s">
        <v>155</v>
      </c>
    </row>
    <row r="10" ht="24.0" customHeight="1">
      <c r="A10" s="107" t="s">
        <v>156</v>
      </c>
      <c r="B10" s="30">
        <v>17.0</v>
      </c>
      <c r="C10" s="108">
        <v>56.7</v>
      </c>
      <c r="D10" s="30">
        <v>9.0</v>
      </c>
      <c r="E10" s="108">
        <v>30.0</v>
      </c>
      <c r="F10" s="110" t="s">
        <v>157</v>
      </c>
      <c r="G10" s="110" t="s">
        <v>158</v>
      </c>
    </row>
    <row r="11" ht="24.0" customHeight="1">
      <c r="A11" s="103" t="s">
        <v>159</v>
      </c>
      <c r="B11" s="104">
        <v>5.0</v>
      </c>
      <c r="C11" s="105">
        <v>16.7</v>
      </c>
      <c r="D11" s="104">
        <v>12.0</v>
      </c>
      <c r="E11" s="105">
        <v>70.6</v>
      </c>
      <c r="F11" s="106" t="s">
        <v>160</v>
      </c>
      <c r="G11" s="106" t="s">
        <v>161</v>
      </c>
    </row>
    <row r="12" ht="9.75" customHeight="1"/>
    <row r="13">
      <c r="A13" s="24" t="s">
        <v>162</v>
      </c>
      <c r="B13" s="25"/>
      <c r="C13" s="25"/>
      <c r="D13" s="25"/>
      <c r="E13" s="25"/>
      <c r="F13" s="25"/>
      <c r="G13" s="25"/>
      <c r="H13" s="25"/>
      <c r="I13" s="25"/>
      <c r="J13" s="25"/>
    </row>
    <row r="14" ht="27.75" customHeight="1">
      <c r="A14" s="102" t="s">
        <v>163</v>
      </c>
      <c r="B14" s="102" t="s">
        <v>164</v>
      </c>
      <c r="C14" s="102" t="s">
        <v>165</v>
      </c>
      <c r="D14" s="102" t="s">
        <v>166</v>
      </c>
      <c r="E14" s="102" t="s">
        <v>167</v>
      </c>
      <c r="F14" s="102" t="s">
        <v>168</v>
      </c>
      <c r="G14" s="102" t="s">
        <v>169</v>
      </c>
      <c r="H14" s="102" t="s">
        <v>170</v>
      </c>
      <c r="I14" s="102" t="s">
        <v>171</v>
      </c>
    </row>
    <row r="15">
      <c r="A15" s="104" t="s">
        <v>172</v>
      </c>
      <c r="B15" s="104">
        <v>2.0</v>
      </c>
      <c r="C15" s="105">
        <v>100.0</v>
      </c>
      <c r="D15" s="105">
        <v>100.0</v>
      </c>
      <c r="E15" s="105">
        <v>100.0</v>
      </c>
      <c r="F15" s="112">
        <v>100.0</v>
      </c>
      <c r="G15" s="104">
        <v>2.0</v>
      </c>
      <c r="H15" s="113">
        <v>1788.0</v>
      </c>
      <c r="I15" s="104"/>
    </row>
    <row r="16">
      <c r="A16" s="30" t="s">
        <v>173</v>
      </c>
      <c r="B16" s="30">
        <v>2.0</v>
      </c>
      <c r="C16" s="108">
        <v>100.0</v>
      </c>
      <c r="D16" s="108">
        <v>100.0</v>
      </c>
      <c r="E16" s="108">
        <v>100.0</v>
      </c>
      <c r="F16" s="112">
        <v>100.0</v>
      </c>
      <c r="G16" s="30">
        <v>2.0</v>
      </c>
      <c r="H16" s="31">
        <v>1540.0</v>
      </c>
      <c r="I16" s="30"/>
    </row>
    <row r="17">
      <c r="A17" s="104" t="s">
        <v>174</v>
      </c>
      <c r="B17" s="104">
        <v>2.0</v>
      </c>
      <c r="C17" s="105">
        <v>50.0</v>
      </c>
      <c r="D17" s="105">
        <v>50.0</v>
      </c>
      <c r="E17" s="105">
        <v>50.0</v>
      </c>
      <c r="F17" s="114">
        <v>50.0</v>
      </c>
      <c r="G17" s="104">
        <v>1.0</v>
      </c>
      <c r="H17" s="113">
        <v>780.0</v>
      </c>
      <c r="I17" s="104" t="s">
        <v>175</v>
      </c>
    </row>
    <row r="18">
      <c r="A18" s="30" t="s">
        <v>176</v>
      </c>
      <c r="B18" s="30">
        <v>4.0</v>
      </c>
      <c r="C18" s="108">
        <v>75.0</v>
      </c>
      <c r="D18" s="108">
        <v>75.0</v>
      </c>
      <c r="E18" s="108">
        <v>75.0</v>
      </c>
      <c r="F18" s="114">
        <v>50.0</v>
      </c>
      <c r="G18" s="30">
        <v>2.0</v>
      </c>
      <c r="H18" s="31">
        <v>2890.0</v>
      </c>
      <c r="I18" s="30"/>
    </row>
    <row r="19">
      <c r="A19" s="104" t="s">
        <v>177</v>
      </c>
      <c r="B19" s="104">
        <v>4.0</v>
      </c>
      <c r="C19" s="105">
        <v>25.0</v>
      </c>
      <c r="D19" s="105">
        <v>25.0</v>
      </c>
      <c r="E19" s="105">
        <v>25.0</v>
      </c>
      <c r="F19" s="115">
        <v>25.0</v>
      </c>
      <c r="G19" s="104">
        <v>1.0</v>
      </c>
      <c r="H19" s="113">
        <v>430.0</v>
      </c>
      <c r="I19" s="104" t="s">
        <v>178</v>
      </c>
    </row>
    <row r="20">
      <c r="A20" s="30" t="s">
        <v>179</v>
      </c>
      <c r="B20" s="30">
        <v>3.0</v>
      </c>
      <c r="C20" s="108">
        <v>66.7</v>
      </c>
      <c r="D20" s="108">
        <v>66.7</v>
      </c>
      <c r="E20" s="108">
        <v>66.7</v>
      </c>
      <c r="F20" s="112">
        <v>66.7</v>
      </c>
      <c r="G20" s="30">
        <v>2.0</v>
      </c>
      <c r="H20" s="31">
        <v>1820.0</v>
      </c>
      <c r="I20" s="30"/>
    </row>
    <row r="21" ht="15.75" customHeight="1">
      <c r="A21" s="104" t="s">
        <v>180</v>
      </c>
      <c r="B21" s="104">
        <v>4.0</v>
      </c>
      <c r="C21" s="105">
        <v>50.0</v>
      </c>
      <c r="D21" s="105">
        <v>50.0</v>
      </c>
      <c r="E21" s="105">
        <v>50.0</v>
      </c>
      <c r="F21" s="114">
        <v>50.0</v>
      </c>
      <c r="G21" s="104">
        <v>2.0</v>
      </c>
      <c r="H21" s="113">
        <v>1640.0</v>
      </c>
      <c r="I21" s="104"/>
    </row>
    <row r="22" ht="15.75" customHeight="1">
      <c r="A22" s="30" t="s">
        <v>181</v>
      </c>
      <c r="B22" s="30">
        <v>4.0</v>
      </c>
      <c r="C22" s="108">
        <v>75.0</v>
      </c>
      <c r="D22" s="108">
        <v>75.0</v>
      </c>
      <c r="E22" s="108">
        <v>75.0</v>
      </c>
      <c r="F22" s="112">
        <v>75.0</v>
      </c>
      <c r="G22" s="30">
        <v>3.0</v>
      </c>
      <c r="H22" s="31">
        <v>2970.0</v>
      </c>
      <c r="I22" s="30"/>
    </row>
    <row r="23" ht="15.75" customHeight="1">
      <c r="A23" s="104" t="s">
        <v>182</v>
      </c>
      <c r="B23" s="104">
        <v>4.0</v>
      </c>
      <c r="C23" s="105">
        <v>50.0</v>
      </c>
      <c r="D23" s="105">
        <v>50.0</v>
      </c>
      <c r="E23" s="105">
        <v>50.0</v>
      </c>
      <c r="F23" s="115">
        <v>25.0</v>
      </c>
      <c r="G23" s="104">
        <v>1.0</v>
      </c>
      <c r="H23" s="113">
        <v>980.0</v>
      </c>
      <c r="I23" s="104" t="s">
        <v>183</v>
      </c>
    </row>
    <row r="24" ht="15.75" customHeight="1">
      <c r="A24" s="30" t="s">
        <v>184</v>
      </c>
      <c r="B24" s="30">
        <v>4.0</v>
      </c>
      <c r="C24" s="108">
        <v>50.0</v>
      </c>
      <c r="D24" s="108">
        <v>75.0</v>
      </c>
      <c r="E24" s="108">
        <v>75.0</v>
      </c>
      <c r="F24" s="114">
        <v>50.0</v>
      </c>
      <c r="G24" s="30">
        <v>2.0</v>
      </c>
      <c r="H24" s="31">
        <v>2200.0</v>
      </c>
      <c r="I24" s="30"/>
    </row>
    <row r="25" ht="15.75" customHeight="1">
      <c r="A25" s="104" t="s">
        <v>185</v>
      </c>
      <c r="B25" s="104">
        <v>3.0</v>
      </c>
      <c r="C25" s="105">
        <v>66.7</v>
      </c>
      <c r="D25" s="105">
        <v>66.7</v>
      </c>
      <c r="E25" s="105">
        <v>66.7</v>
      </c>
      <c r="F25" s="115">
        <v>0.0</v>
      </c>
      <c r="G25" s="104">
        <v>0.0</v>
      </c>
      <c r="H25" s="113">
        <v>0.0</v>
      </c>
      <c r="I25" s="104" t="s">
        <v>186</v>
      </c>
    </row>
    <row r="26" ht="15.75" customHeight="1">
      <c r="A26" s="30" t="s">
        <v>187</v>
      </c>
      <c r="B26" s="30">
        <v>3.0</v>
      </c>
      <c r="C26" s="108">
        <v>33.3</v>
      </c>
      <c r="D26" s="108">
        <v>33.3</v>
      </c>
      <c r="E26" s="108">
        <v>33.3</v>
      </c>
      <c r="F26" s="115">
        <v>0.0</v>
      </c>
      <c r="G26" s="30">
        <v>0.0</v>
      </c>
      <c r="H26" s="31">
        <v>0.0</v>
      </c>
      <c r="I26" s="30" t="s">
        <v>188</v>
      </c>
    </row>
    <row r="27" ht="15.75" customHeight="1">
      <c r="A27" s="104" t="s">
        <v>189</v>
      </c>
      <c r="B27" s="104">
        <v>4.0</v>
      </c>
      <c r="C27" s="105">
        <v>100.0</v>
      </c>
      <c r="D27" s="105">
        <v>100.0</v>
      </c>
      <c r="E27" s="105">
        <v>100.0</v>
      </c>
      <c r="F27" s="115">
        <v>0.0</v>
      </c>
      <c r="G27" s="104">
        <v>0.0</v>
      </c>
      <c r="H27" s="113">
        <v>0.0</v>
      </c>
      <c r="I27" s="104" t="s">
        <v>190</v>
      </c>
    </row>
    <row r="28" ht="15.75" customHeight="1">
      <c r="A28" s="30" t="s">
        <v>191</v>
      </c>
      <c r="B28" s="30">
        <v>4.0</v>
      </c>
      <c r="C28" s="108">
        <v>100.0</v>
      </c>
      <c r="D28" s="108">
        <v>100.0</v>
      </c>
      <c r="E28" s="108">
        <v>0.0</v>
      </c>
      <c r="F28" s="115">
        <v>0.0</v>
      </c>
      <c r="G28" s="30">
        <v>0.0</v>
      </c>
      <c r="H28" s="31">
        <v>0.0</v>
      </c>
      <c r="I28" s="30" t="s">
        <v>190</v>
      </c>
    </row>
    <row r="29" ht="15.75" customHeight="1">
      <c r="A29" s="104" t="s">
        <v>192</v>
      </c>
      <c r="B29" s="104">
        <v>4.0</v>
      </c>
      <c r="C29" s="105">
        <v>100.0</v>
      </c>
      <c r="D29" s="105">
        <v>0.0</v>
      </c>
      <c r="E29" s="105">
        <v>0.0</v>
      </c>
      <c r="F29" s="115">
        <v>0.0</v>
      </c>
      <c r="G29" s="104">
        <v>0.0</v>
      </c>
      <c r="H29" s="113">
        <v>0.0</v>
      </c>
      <c r="I29" s="104" t="s">
        <v>190</v>
      </c>
    </row>
    <row r="30" ht="15.75" customHeight="1">
      <c r="A30" s="30" t="s">
        <v>193</v>
      </c>
      <c r="B30" s="30">
        <v>2.0</v>
      </c>
      <c r="C30" s="108">
        <v>50.0</v>
      </c>
      <c r="D30" s="108">
        <v>0.0</v>
      </c>
      <c r="E30" s="108">
        <v>0.0</v>
      </c>
      <c r="F30" s="115">
        <v>0.0</v>
      </c>
      <c r="G30" s="30">
        <v>0.0</v>
      </c>
      <c r="H30" s="31">
        <v>0.0</v>
      </c>
      <c r="I30" s="30" t="s">
        <v>190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3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4C3C"/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10.0"/>
    <col customWidth="1" min="3" max="4" width="12.0"/>
    <col customWidth="1" min="5" max="5" width="10.0"/>
    <col customWidth="1" min="6" max="6" width="12.0"/>
    <col customWidth="1" min="7" max="8" width="10.0"/>
    <col customWidth="1" min="9" max="9" width="12.0"/>
    <col customWidth="1" min="10" max="10" width="18.0"/>
    <col customWidth="1" min="11" max="26" width="8.71"/>
  </cols>
  <sheetData>
    <row r="1">
      <c r="A1" s="116" t="s">
        <v>194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/>
      <c r="M2" s="5"/>
    </row>
    <row r="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8"/>
    </row>
    <row r="5">
      <c r="A5" s="24" t="s">
        <v>195</v>
      </c>
      <c r="B5" s="25"/>
      <c r="C5" s="25"/>
      <c r="D5" s="25"/>
      <c r="E5" s="25"/>
      <c r="F5" s="25"/>
      <c r="G5" s="25"/>
    </row>
    <row r="6" ht="27.75" customHeight="1">
      <c r="A6" s="102" t="s">
        <v>196</v>
      </c>
      <c r="B6" s="102" t="s">
        <v>197</v>
      </c>
      <c r="C6" s="102" t="s">
        <v>198</v>
      </c>
      <c r="D6" s="102" t="s">
        <v>199</v>
      </c>
      <c r="E6" s="102" t="s">
        <v>200</v>
      </c>
      <c r="F6" s="102" t="s">
        <v>201</v>
      </c>
      <c r="G6" s="102" t="s">
        <v>202</v>
      </c>
    </row>
    <row r="7">
      <c r="A7" s="117" t="s">
        <v>196</v>
      </c>
      <c r="B7" s="118">
        <v>22.4</v>
      </c>
      <c r="C7" s="119">
        <v>3.45</v>
      </c>
      <c r="D7" s="120">
        <v>8.88</v>
      </c>
      <c r="E7" s="120">
        <v>2.13</v>
      </c>
      <c r="F7" s="121">
        <v>3.76</v>
      </c>
      <c r="G7" s="122" t="s">
        <v>203</v>
      </c>
    </row>
    <row r="8">
      <c r="A8" s="107" t="s">
        <v>204</v>
      </c>
      <c r="B8" s="108">
        <v>18.5</v>
      </c>
      <c r="C8" s="32">
        <v>3.37</v>
      </c>
      <c r="D8" s="123">
        <v>7.5</v>
      </c>
      <c r="E8" s="123">
        <v>1.8</v>
      </c>
      <c r="F8" s="124">
        <v>3.13</v>
      </c>
      <c r="G8" s="110" t="s">
        <v>205</v>
      </c>
    </row>
    <row r="9">
      <c r="A9" s="125" t="s">
        <v>206</v>
      </c>
      <c r="B9" s="126">
        <v>14.2</v>
      </c>
      <c r="C9" s="29">
        <v>4.27</v>
      </c>
      <c r="D9" s="127">
        <v>8.33</v>
      </c>
      <c r="E9" s="127">
        <v>1.87</v>
      </c>
      <c r="F9" s="128">
        <v>3.2</v>
      </c>
      <c r="G9" s="129" t="s">
        <v>207</v>
      </c>
    </row>
    <row r="10">
      <c r="A10" s="107" t="s">
        <v>208</v>
      </c>
      <c r="B10" s="108">
        <v>11.8</v>
      </c>
      <c r="C10" s="32">
        <v>3.13</v>
      </c>
      <c r="D10" s="123">
        <v>6.57</v>
      </c>
      <c r="E10" s="123">
        <v>1.77</v>
      </c>
      <c r="F10" s="124">
        <v>3.2</v>
      </c>
      <c r="G10" s="110" t="s">
        <v>209</v>
      </c>
    </row>
    <row r="11">
      <c r="A11" s="125" t="s">
        <v>210</v>
      </c>
      <c r="B11" s="126">
        <v>9.1</v>
      </c>
      <c r="C11" s="29">
        <v>4.73</v>
      </c>
      <c r="D11" s="127">
        <v>9.73</v>
      </c>
      <c r="E11" s="127">
        <v>2.17</v>
      </c>
      <c r="F11" s="128">
        <v>3.8</v>
      </c>
      <c r="G11" s="129" t="s">
        <v>211</v>
      </c>
    </row>
    <row r="12">
      <c r="A12" s="107" t="s">
        <v>212</v>
      </c>
      <c r="B12" s="108">
        <v>24.0</v>
      </c>
      <c r="C12" s="32">
        <v>3.8</v>
      </c>
      <c r="D12" s="123">
        <v>7.2</v>
      </c>
      <c r="E12" s="123">
        <v>1.6</v>
      </c>
      <c r="F12" s="124">
        <v>2.9</v>
      </c>
      <c r="G12" s="110" t="s">
        <v>213</v>
      </c>
    </row>
    <row r="13" ht="9.75" customHeight="1"/>
    <row r="14">
      <c r="A14" s="24" t="s">
        <v>214</v>
      </c>
      <c r="B14" s="25"/>
      <c r="C14" s="25"/>
      <c r="D14" s="25"/>
      <c r="E14" s="25"/>
      <c r="F14" s="25"/>
      <c r="G14" s="25"/>
      <c r="H14" s="25"/>
      <c r="I14" s="25"/>
      <c r="J14" s="25"/>
    </row>
    <row r="15" ht="27.75" customHeight="1">
      <c r="A15" s="102" t="s">
        <v>53</v>
      </c>
      <c r="B15" s="102" t="s">
        <v>215</v>
      </c>
      <c r="C15" s="102" t="s">
        <v>216</v>
      </c>
      <c r="D15" s="102" t="s">
        <v>217</v>
      </c>
      <c r="E15" s="102" t="s">
        <v>218</v>
      </c>
      <c r="F15" s="102" t="s">
        <v>219</v>
      </c>
      <c r="G15" s="102" t="s">
        <v>220</v>
      </c>
      <c r="H15" s="102" t="s">
        <v>221</v>
      </c>
      <c r="I15" s="102" t="s">
        <v>222</v>
      </c>
      <c r="J15" s="102" t="s">
        <v>223</v>
      </c>
    </row>
    <row r="16">
      <c r="A16" s="107" t="s">
        <v>76</v>
      </c>
      <c r="B16" s="32">
        <v>2.9</v>
      </c>
      <c r="C16" s="32">
        <v>3.2</v>
      </c>
      <c r="D16" s="130">
        <v>0.3</v>
      </c>
      <c r="E16" s="123">
        <v>9.8</v>
      </c>
      <c r="F16" s="123">
        <v>9.1</v>
      </c>
      <c r="G16" s="131">
        <v>0.7</v>
      </c>
      <c r="H16" s="124">
        <v>4.1</v>
      </c>
      <c r="I16" s="124">
        <v>3.4</v>
      </c>
      <c r="J16" s="132" t="s">
        <v>224</v>
      </c>
    </row>
    <row r="17">
      <c r="A17" s="125" t="s">
        <v>67</v>
      </c>
      <c r="B17" s="29">
        <v>2.4</v>
      </c>
      <c r="C17" s="29">
        <v>2.5</v>
      </c>
      <c r="D17" s="133">
        <v>0.1</v>
      </c>
      <c r="E17" s="127">
        <v>8.1</v>
      </c>
      <c r="F17" s="127">
        <v>7.2</v>
      </c>
      <c r="G17" s="134">
        <v>0.9</v>
      </c>
      <c r="H17" s="128">
        <v>4.6</v>
      </c>
      <c r="I17" s="128">
        <v>4.0</v>
      </c>
      <c r="J17" s="135" t="s">
        <v>224</v>
      </c>
    </row>
    <row r="18">
      <c r="A18" s="107" t="s">
        <v>81</v>
      </c>
      <c r="B18" s="32">
        <v>3.6</v>
      </c>
      <c r="C18" s="32">
        <v>3.9</v>
      </c>
      <c r="D18" s="130">
        <v>0.3</v>
      </c>
      <c r="E18" s="123">
        <v>7.5</v>
      </c>
      <c r="F18" s="123">
        <v>6.8</v>
      </c>
      <c r="G18" s="131">
        <v>0.7</v>
      </c>
      <c r="H18" s="124">
        <v>3.8</v>
      </c>
      <c r="I18" s="124">
        <v>2.8</v>
      </c>
      <c r="J18" s="132" t="s">
        <v>224</v>
      </c>
    </row>
    <row r="19">
      <c r="A19" s="125" t="s">
        <v>73</v>
      </c>
      <c r="B19" s="29">
        <v>3.2</v>
      </c>
      <c r="C19" s="29">
        <v>3.5</v>
      </c>
      <c r="D19" s="133">
        <v>0.3</v>
      </c>
      <c r="E19" s="127">
        <v>8.4</v>
      </c>
      <c r="F19" s="127">
        <v>9.8</v>
      </c>
      <c r="G19" s="136">
        <v>-1.4</v>
      </c>
      <c r="H19" s="128">
        <v>3.6</v>
      </c>
      <c r="I19" s="128">
        <v>3.9</v>
      </c>
      <c r="J19" s="125" t="s">
        <v>225</v>
      </c>
    </row>
    <row r="20">
      <c r="A20" s="107" t="s">
        <v>91</v>
      </c>
      <c r="B20" s="32">
        <v>4.0</v>
      </c>
      <c r="C20" s="32">
        <v>4.5</v>
      </c>
      <c r="D20" s="130">
        <v>0.5</v>
      </c>
      <c r="E20" s="123">
        <v>9.2</v>
      </c>
      <c r="F20" s="123">
        <v>8.2</v>
      </c>
      <c r="G20" s="131">
        <v>1.0</v>
      </c>
      <c r="H20" s="124">
        <v>3.3</v>
      </c>
      <c r="I20" s="124">
        <v>3.0</v>
      </c>
      <c r="J20" s="107" t="s">
        <v>226</v>
      </c>
    </row>
    <row r="21" ht="15.75" customHeight="1">
      <c r="A21" s="125" t="s">
        <v>95</v>
      </c>
      <c r="B21" s="29">
        <v>2.8</v>
      </c>
      <c r="C21" s="29">
        <v>3.0</v>
      </c>
      <c r="D21" s="133">
        <v>0.2</v>
      </c>
      <c r="E21" s="127">
        <v>8.0</v>
      </c>
      <c r="F21" s="127">
        <v>7.0</v>
      </c>
      <c r="G21" s="134">
        <v>1.0</v>
      </c>
      <c r="H21" s="128">
        <v>3.7</v>
      </c>
      <c r="I21" s="128">
        <v>2.9</v>
      </c>
      <c r="J21" s="135" t="s">
        <v>224</v>
      </c>
    </row>
    <row r="22" ht="15.75" customHeight="1">
      <c r="A22" s="107" t="s">
        <v>88</v>
      </c>
      <c r="B22" s="32">
        <v>4.8</v>
      </c>
      <c r="C22" s="32">
        <v>5.2</v>
      </c>
      <c r="D22" s="130">
        <v>0.4</v>
      </c>
      <c r="E22" s="123">
        <v>10.2</v>
      </c>
      <c r="F22" s="123">
        <v>10.5</v>
      </c>
      <c r="G22" s="137">
        <v>-0.3</v>
      </c>
      <c r="H22" s="124">
        <v>3.9</v>
      </c>
      <c r="I22" s="124">
        <v>4.2</v>
      </c>
      <c r="J22" s="138" t="s">
        <v>227</v>
      </c>
    </row>
    <row r="23" ht="15.75" customHeight="1">
      <c r="A23" s="125" t="s">
        <v>85</v>
      </c>
      <c r="B23" s="29">
        <v>3.9</v>
      </c>
      <c r="C23" s="29">
        <v>4.2</v>
      </c>
      <c r="D23" s="133">
        <v>0.3</v>
      </c>
      <c r="E23" s="127">
        <v>8.6</v>
      </c>
      <c r="F23" s="127">
        <v>8.9</v>
      </c>
      <c r="G23" s="136">
        <v>-0.3</v>
      </c>
      <c r="H23" s="128">
        <v>3.1</v>
      </c>
      <c r="I23" s="128">
        <v>3.3</v>
      </c>
      <c r="J23" s="139" t="s">
        <v>227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3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AE60"/>
    <pageSetUpPr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10.0"/>
    <col customWidth="1" min="3" max="3" width="12.0"/>
    <col customWidth="1" min="4" max="4" width="10.0"/>
    <col customWidth="1" min="5" max="6" width="8.0"/>
    <col customWidth="1" min="7" max="7" width="30.0"/>
    <col customWidth="1" min="8" max="26" width="8.71"/>
  </cols>
  <sheetData>
    <row r="1">
      <c r="A1" s="140" t="s">
        <v>228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/>
      <c r="M2" s="5"/>
    </row>
    <row r="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8"/>
    </row>
    <row r="5">
      <c r="A5" s="24" t="s">
        <v>229</v>
      </c>
      <c r="B5" s="25"/>
      <c r="C5" s="25"/>
      <c r="D5" s="25"/>
      <c r="E5" s="25"/>
      <c r="F5" s="25"/>
      <c r="G5" s="25"/>
      <c r="H5" s="25"/>
      <c r="I5" s="25"/>
    </row>
    <row r="6" ht="24.0" customHeight="1">
      <c r="A6" s="102" t="s">
        <v>53</v>
      </c>
      <c r="B6" s="102" t="s">
        <v>29</v>
      </c>
      <c r="C6" s="102" t="s">
        <v>230</v>
      </c>
      <c r="D6" s="102" t="s">
        <v>31</v>
      </c>
      <c r="E6" s="102" t="s">
        <v>231</v>
      </c>
      <c r="F6" s="102" t="s">
        <v>232</v>
      </c>
      <c r="G6" s="102" t="s">
        <v>233</v>
      </c>
      <c r="H6" s="102" t="s">
        <v>62</v>
      </c>
      <c r="I6" s="102" t="s">
        <v>63</v>
      </c>
    </row>
    <row r="7">
      <c r="A7" s="27" t="s">
        <v>67</v>
      </c>
      <c r="B7" s="27">
        <v>7.0</v>
      </c>
      <c r="C7" s="28">
        <v>5600.0</v>
      </c>
      <c r="D7" s="141">
        <v>151485.0</v>
      </c>
      <c r="E7" s="141">
        <v>1459.0</v>
      </c>
      <c r="F7" s="29">
        <v>36.97</v>
      </c>
      <c r="G7" s="29">
        <v>3.84</v>
      </c>
      <c r="H7" s="127">
        <v>8.2</v>
      </c>
      <c r="I7" s="127">
        <v>2.7</v>
      </c>
    </row>
    <row r="8">
      <c r="A8" s="30" t="s">
        <v>81</v>
      </c>
      <c r="B8" s="30">
        <v>5.0</v>
      </c>
      <c r="C8" s="31">
        <v>6100.0</v>
      </c>
      <c r="D8" s="142">
        <v>121680.0</v>
      </c>
      <c r="E8" s="142">
        <v>1454.0</v>
      </c>
      <c r="F8" s="32">
        <v>50.13</v>
      </c>
      <c r="G8" s="32">
        <v>4.2</v>
      </c>
      <c r="H8" s="123">
        <v>7.8</v>
      </c>
      <c r="I8" s="123">
        <v>1.8</v>
      </c>
    </row>
    <row r="9">
      <c r="A9" s="27" t="s">
        <v>76</v>
      </c>
      <c r="B9" s="27">
        <v>6.0</v>
      </c>
      <c r="C9" s="28">
        <v>4150.0</v>
      </c>
      <c r="D9" s="141">
        <v>367040.0</v>
      </c>
      <c r="E9" s="141">
        <v>4322.0</v>
      </c>
      <c r="F9" s="29">
        <v>11.31</v>
      </c>
      <c r="G9" s="29">
        <v>0.96</v>
      </c>
      <c r="H9" s="127">
        <v>9.4</v>
      </c>
      <c r="I9" s="127">
        <v>2.5</v>
      </c>
    </row>
    <row r="10">
      <c r="A10" s="30" t="s">
        <v>91</v>
      </c>
      <c r="B10" s="30">
        <v>5.0</v>
      </c>
      <c r="C10" s="31">
        <v>8500.0</v>
      </c>
      <c r="D10" s="142">
        <v>275700.0</v>
      </c>
      <c r="E10" s="142">
        <v>2395.0</v>
      </c>
      <c r="F10" s="32">
        <v>30.83</v>
      </c>
      <c r="G10" s="32">
        <v>3.55</v>
      </c>
      <c r="H10" s="123">
        <v>8.8</v>
      </c>
      <c r="I10" s="123">
        <v>1.9</v>
      </c>
    </row>
    <row r="11">
      <c r="A11" s="27" t="s">
        <v>95</v>
      </c>
      <c r="B11" s="27">
        <v>4.0</v>
      </c>
      <c r="C11" s="28">
        <v>1370.0</v>
      </c>
      <c r="D11" s="141">
        <v>22610.0</v>
      </c>
      <c r="E11" s="141">
        <v>196.0</v>
      </c>
      <c r="F11" s="29">
        <v>60.59</v>
      </c>
      <c r="G11" s="29">
        <v>6.99</v>
      </c>
      <c r="H11" s="127">
        <v>7.4</v>
      </c>
      <c r="I11" s="127">
        <v>1.6</v>
      </c>
    </row>
    <row r="12">
      <c r="A12" s="30" t="s">
        <v>73</v>
      </c>
      <c r="B12" s="30">
        <v>4.0</v>
      </c>
      <c r="C12" s="31">
        <v>720.0</v>
      </c>
      <c r="D12" s="142">
        <v>18791.0</v>
      </c>
      <c r="E12" s="142">
        <v>152.0</v>
      </c>
      <c r="F12" s="32">
        <v>38.32</v>
      </c>
      <c r="G12" s="32">
        <v>4.74</v>
      </c>
      <c r="H12" s="123">
        <v>8.1</v>
      </c>
      <c r="I12" s="123">
        <v>1.7</v>
      </c>
    </row>
    <row r="13">
      <c r="A13" s="27" t="s">
        <v>88</v>
      </c>
      <c r="B13" s="27">
        <v>3.0</v>
      </c>
      <c r="C13" s="28">
        <v>260.0</v>
      </c>
      <c r="D13" s="141">
        <v>12390.0</v>
      </c>
      <c r="E13" s="141">
        <v>96.0</v>
      </c>
      <c r="F13" s="29">
        <v>20.99</v>
      </c>
      <c r="G13" s="29">
        <v>2.71</v>
      </c>
      <c r="H13" s="127">
        <v>10.1</v>
      </c>
      <c r="I13" s="127">
        <v>2.2</v>
      </c>
    </row>
    <row r="14">
      <c r="A14" s="30" t="s">
        <v>85</v>
      </c>
      <c r="B14" s="30">
        <v>2.0</v>
      </c>
      <c r="C14" s="31">
        <v>430.0</v>
      </c>
      <c r="D14" s="142">
        <v>10250.0</v>
      </c>
      <c r="E14" s="142">
        <v>90.0</v>
      </c>
      <c r="F14" s="32">
        <v>41.95</v>
      </c>
      <c r="G14" s="32">
        <v>4.78</v>
      </c>
      <c r="H14" s="123">
        <v>8.5</v>
      </c>
      <c r="I14" s="123">
        <v>1.6</v>
      </c>
    </row>
    <row r="15" ht="9.75" customHeight="1"/>
    <row r="16">
      <c r="A16" s="24" t="s">
        <v>234</v>
      </c>
      <c r="B16" s="25"/>
      <c r="C16" s="25"/>
      <c r="D16" s="25"/>
      <c r="E16" s="25"/>
      <c r="F16" s="25"/>
      <c r="G16" s="25"/>
    </row>
    <row r="17" ht="24.0" customHeight="1">
      <c r="A17" s="102" t="s">
        <v>235</v>
      </c>
      <c r="B17" s="102" t="s">
        <v>29</v>
      </c>
      <c r="C17" s="102" t="s">
        <v>236</v>
      </c>
      <c r="D17" s="102" t="s">
        <v>232</v>
      </c>
      <c r="E17" s="102" t="s">
        <v>233</v>
      </c>
      <c r="F17" s="102" t="s">
        <v>62</v>
      </c>
      <c r="G17" s="102" t="s">
        <v>145</v>
      </c>
    </row>
    <row r="18">
      <c r="A18" s="107" t="s">
        <v>237</v>
      </c>
      <c r="B18" s="30">
        <v>3.0</v>
      </c>
      <c r="C18" s="31">
        <v>87.0</v>
      </c>
      <c r="D18" s="32">
        <v>62.5</v>
      </c>
      <c r="E18" s="32">
        <v>8.1</v>
      </c>
      <c r="F18" s="123">
        <v>9.8</v>
      </c>
      <c r="G18" s="107" t="s">
        <v>238</v>
      </c>
    </row>
    <row r="19">
      <c r="A19" s="125" t="s">
        <v>239</v>
      </c>
      <c r="B19" s="27">
        <v>5.0</v>
      </c>
      <c r="C19" s="28">
        <v>154.0</v>
      </c>
      <c r="D19" s="29">
        <v>28.9</v>
      </c>
      <c r="E19" s="29">
        <v>4.2</v>
      </c>
      <c r="F19" s="127">
        <v>9.2</v>
      </c>
      <c r="G19" s="125" t="s">
        <v>240</v>
      </c>
    </row>
    <row r="20">
      <c r="A20" s="117" t="s">
        <v>241</v>
      </c>
      <c r="B20" s="143">
        <v>9.0</v>
      </c>
      <c r="C20" s="144">
        <v>328.0</v>
      </c>
      <c r="D20" s="119">
        <v>14.2</v>
      </c>
      <c r="E20" s="119">
        <v>1.9</v>
      </c>
      <c r="F20" s="120">
        <v>9.8</v>
      </c>
      <c r="G20" s="145" t="s">
        <v>242</v>
      </c>
    </row>
    <row r="21" ht="15.75" customHeight="1">
      <c r="A21" s="125" t="s">
        <v>243</v>
      </c>
      <c r="B21" s="27">
        <v>7.0</v>
      </c>
      <c r="C21" s="28">
        <v>686.0</v>
      </c>
      <c r="D21" s="29">
        <v>18.5</v>
      </c>
      <c r="E21" s="29">
        <v>2.3</v>
      </c>
      <c r="F21" s="127">
        <v>9.5</v>
      </c>
      <c r="G21" s="125" t="s">
        <v>244</v>
      </c>
    </row>
    <row r="22" ht="15.75" customHeight="1">
      <c r="A22" s="107" t="s">
        <v>245</v>
      </c>
      <c r="B22" s="30">
        <v>5.0</v>
      </c>
      <c r="C22" s="31">
        <v>1460.0</v>
      </c>
      <c r="D22" s="32">
        <v>22.1</v>
      </c>
      <c r="E22" s="32">
        <v>2.1</v>
      </c>
      <c r="F22" s="123">
        <v>9.6</v>
      </c>
      <c r="G22" s="107" t="s">
        <v>246</v>
      </c>
    </row>
    <row r="23" ht="15.75" customHeight="1">
      <c r="A23" s="117" t="s">
        <v>247</v>
      </c>
      <c r="B23" s="143">
        <v>5.0</v>
      </c>
      <c r="C23" s="144">
        <v>2680.0</v>
      </c>
      <c r="D23" s="119">
        <v>16.8</v>
      </c>
      <c r="E23" s="119">
        <v>1.6</v>
      </c>
      <c r="F23" s="120">
        <v>9.9</v>
      </c>
      <c r="G23" s="145" t="s">
        <v>248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3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C4A6E"/>
    <pageSetUpPr/>
  </sheetPr>
  <sheetViews>
    <sheetView showGridLines="0" workbookViewId="0"/>
  </sheetViews>
  <sheetFormatPr customHeight="1" defaultColWidth="14.43" defaultRowHeight="15.0"/>
  <cols>
    <col customWidth="1" min="1" max="2" width="16.0"/>
    <col customWidth="1" min="3" max="3" width="20.0"/>
    <col customWidth="1" min="4" max="13" width="14.0"/>
    <col customWidth="1" min="14" max="26" width="8.71"/>
  </cols>
  <sheetData>
    <row r="1">
      <c r="A1" s="146" t="s">
        <v>249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/>
      <c r="M2" s="5"/>
    </row>
    <row r="3">
      <c r="A3" s="4"/>
      <c r="M3" s="5"/>
    </row>
    <row r="4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8"/>
    </row>
    <row r="6" ht="21.75" customHeight="1">
      <c r="A6" s="147" t="s">
        <v>250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1"/>
    </row>
    <row r="7" ht="30.0" customHeight="1">
      <c r="A7" s="148" t="s">
        <v>251</v>
      </c>
      <c r="B7" s="149"/>
      <c r="C7" s="150" t="s">
        <v>252</v>
      </c>
      <c r="D7" s="151"/>
      <c r="E7" s="151"/>
      <c r="F7" s="151"/>
      <c r="G7" s="151"/>
      <c r="H7" s="151"/>
      <c r="I7" s="151"/>
      <c r="J7" s="151"/>
      <c r="K7" s="151"/>
      <c r="L7" s="151"/>
    </row>
    <row r="8" ht="30.0" customHeight="1">
      <c r="A8" s="148" t="s">
        <v>253</v>
      </c>
      <c r="B8" s="149"/>
      <c r="C8" s="150" t="s">
        <v>254</v>
      </c>
      <c r="D8" s="151"/>
      <c r="E8" s="151"/>
      <c r="F8" s="151"/>
      <c r="G8" s="151"/>
      <c r="H8" s="151"/>
      <c r="I8" s="151"/>
      <c r="J8" s="151"/>
      <c r="K8" s="151"/>
      <c r="L8" s="151"/>
    </row>
    <row r="9" ht="30.0" customHeight="1">
      <c r="A9" s="148" t="s">
        <v>255</v>
      </c>
      <c r="B9" s="149"/>
      <c r="C9" s="150" t="s">
        <v>256</v>
      </c>
      <c r="D9" s="151"/>
      <c r="E9" s="151"/>
      <c r="F9" s="151"/>
      <c r="G9" s="151"/>
      <c r="H9" s="151"/>
      <c r="I9" s="151"/>
      <c r="J9" s="151"/>
      <c r="K9" s="151"/>
      <c r="L9" s="151"/>
    </row>
    <row r="10" ht="30.0" customHeight="1">
      <c r="A10" s="148" t="s">
        <v>257</v>
      </c>
      <c r="B10" s="149"/>
      <c r="C10" s="150" t="s">
        <v>258</v>
      </c>
      <c r="D10" s="151"/>
      <c r="E10" s="151"/>
      <c r="F10" s="151"/>
      <c r="G10" s="151"/>
      <c r="H10" s="151"/>
      <c r="I10" s="151"/>
      <c r="J10" s="151"/>
      <c r="K10" s="151"/>
      <c r="L10" s="151"/>
    </row>
    <row r="11" ht="7.5" customHeight="1"/>
    <row r="12" ht="21.75" customHeight="1">
      <c r="A12" s="147" t="s">
        <v>259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1"/>
    </row>
    <row r="13" ht="30.0" customHeight="1">
      <c r="A13" s="148" t="s">
        <v>251</v>
      </c>
      <c r="B13" s="149"/>
      <c r="C13" s="150" t="s">
        <v>260</v>
      </c>
      <c r="D13" s="151"/>
      <c r="E13" s="151"/>
      <c r="F13" s="151"/>
      <c r="G13" s="151"/>
      <c r="H13" s="151"/>
      <c r="I13" s="151"/>
      <c r="J13" s="151"/>
      <c r="K13" s="151"/>
      <c r="L13" s="151"/>
    </row>
    <row r="14" ht="30.0" customHeight="1">
      <c r="A14" s="148" t="s">
        <v>253</v>
      </c>
      <c r="B14" s="149"/>
      <c r="C14" s="150" t="s">
        <v>261</v>
      </c>
      <c r="D14" s="151"/>
      <c r="E14" s="151"/>
      <c r="F14" s="151"/>
      <c r="G14" s="151"/>
      <c r="H14" s="151"/>
      <c r="I14" s="151"/>
      <c r="J14" s="151"/>
      <c r="K14" s="151"/>
      <c r="L14" s="151"/>
    </row>
    <row r="15" ht="30.0" customHeight="1">
      <c r="A15" s="148" t="s">
        <v>255</v>
      </c>
      <c r="B15" s="149"/>
      <c r="C15" s="150" t="s">
        <v>262</v>
      </c>
      <c r="D15" s="151"/>
      <c r="E15" s="151"/>
      <c r="F15" s="151"/>
      <c r="G15" s="151"/>
      <c r="H15" s="151"/>
      <c r="I15" s="151"/>
      <c r="J15" s="151"/>
      <c r="K15" s="151"/>
      <c r="L15" s="151"/>
    </row>
    <row r="16" ht="30.0" customHeight="1">
      <c r="A16" s="148" t="s">
        <v>257</v>
      </c>
      <c r="B16" s="149"/>
      <c r="C16" s="150" t="s">
        <v>263</v>
      </c>
      <c r="D16" s="151"/>
      <c r="E16" s="151"/>
      <c r="F16" s="151"/>
      <c r="G16" s="151"/>
      <c r="H16" s="151"/>
      <c r="I16" s="151"/>
      <c r="J16" s="151"/>
      <c r="K16" s="151"/>
      <c r="L16" s="151"/>
    </row>
    <row r="17" ht="7.5" customHeight="1"/>
    <row r="18" ht="21.75" customHeight="1">
      <c r="A18" s="152" t="s">
        <v>264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1"/>
    </row>
    <row r="19" ht="30.0" customHeight="1">
      <c r="A19" s="148" t="s">
        <v>251</v>
      </c>
      <c r="B19" s="149"/>
      <c r="C19" s="150" t="s">
        <v>265</v>
      </c>
      <c r="D19" s="151"/>
      <c r="E19" s="151"/>
      <c r="F19" s="151"/>
      <c r="G19" s="151"/>
      <c r="H19" s="151"/>
      <c r="I19" s="151"/>
      <c r="J19" s="151"/>
      <c r="K19" s="151"/>
      <c r="L19" s="151"/>
    </row>
    <row r="20" ht="30.0" customHeight="1">
      <c r="A20" s="148" t="s">
        <v>253</v>
      </c>
      <c r="B20" s="149"/>
      <c r="C20" s="150" t="s">
        <v>266</v>
      </c>
      <c r="D20" s="151"/>
      <c r="E20" s="151"/>
      <c r="F20" s="151"/>
      <c r="G20" s="151"/>
      <c r="H20" s="151"/>
      <c r="I20" s="151"/>
      <c r="J20" s="151"/>
      <c r="K20" s="151"/>
      <c r="L20" s="151"/>
    </row>
    <row r="21" ht="30.0" customHeight="1">
      <c r="A21" s="148" t="s">
        <v>255</v>
      </c>
      <c r="B21" s="149"/>
      <c r="C21" s="150" t="s">
        <v>267</v>
      </c>
      <c r="D21" s="151"/>
      <c r="E21" s="151"/>
      <c r="F21" s="151"/>
      <c r="G21" s="151"/>
      <c r="H21" s="151"/>
      <c r="I21" s="151"/>
      <c r="J21" s="151"/>
      <c r="K21" s="151"/>
      <c r="L21" s="151"/>
    </row>
    <row r="22" ht="30.0" customHeight="1">
      <c r="A22" s="148" t="s">
        <v>257</v>
      </c>
      <c r="B22" s="149"/>
      <c r="C22" s="150" t="s">
        <v>268</v>
      </c>
      <c r="D22" s="151"/>
      <c r="E22" s="151"/>
      <c r="F22" s="151"/>
      <c r="G22" s="151"/>
      <c r="H22" s="151"/>
      <c r="I22" s="151"/>
      <c r="J22" s="151"/>
      <c r="K22" s="151"/>
      <c r="L22" s="151"/>
    </row>
    <row r="23" ht="7.5" customHeight="1"/>
    <row r="24" ht="21.75" customHeight="1">
      <c r="A24" s="152" t="s">
        <v>269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1"/>
    </row>
    <row r="25" ht="30.0" customHeight="1">
      <c r="A25" s="148" t="s">
        <v>251</v>
      </c>
      <c r="B25" s="149"/>
      <c r="C25" s="150" t="s">
        <v>270</v>
      </c>
      <c r="D25" s="151"/>
      <c r="E25" s="151"/>
      <c r="F25" s="151"/>
      <c r="G25" s="151"/>
      <c r="H25" s="151"/>
      <c r="I25" s="151"/>
      <c r="J25" s="151"/>
      <c r="K25" s="151"/>
      <c r="L25" s="151"/>
    </row>
    <row r="26" ht="30.0" customHeight="1">
      <c r="A26" s="148" t="s">
        <v>253</v>
      </c>
      <c r="B26" s="149"/>
      <c r="C26" s="150" t="s">
        <v>271</v>
      </c>
      <c r="D26" s="151"/>
      <c r="E26" s="151"/>
      <c r="F26" s="151"/>
      <c r="G26" s="151"/>
      <c r="H26" s="151"/>
      <c r="I26" s="151"/>
      <c r="J26" s="151"/>
      <c r="K26" s="151"/>
      <c r="L26" s="151"/>
    </row>
    <row r="27" ht="30.0" customHeight="1">
      <c r="A27" s="148" t="s">
        <v>255</v>
      </c>
      <c r="B27" s="149"/>
      <c r="C27" s="150" t="s">
        <v>272</v>
      </c>
      <c r="D27" s="151"/>
      <c r="E27" s="151"/>
      <c r="F27" s="151"/>
      <c r="G27" s="151"/>
      <c r="H27" s="151"/>
      <c r="I27" s="151"/>
      <c r="J27" s="151"/>
      <c r="K27" s="151"/>
      <c r="L27" s="151"/>
    </row>
    <row r="28" ht="30.0" customHeight="1">
      <c r="A28" s="148" t="s">
        <v>257</v>
      </c>
      <c r="B28" s="149"/>
      <c r="C28" s="150" t="s">
        <v>273</v>
      </c>
      <c r="D28" s="151"/>
      <c r="E28" s="151"/>
      <c r="F28" s="151"/>
      <c r="G28" s="151"/>
      <c r="H28" s="151"/>
      <c r="I28" s="151"/>
      <c r="J28" s="151"/>
      <c r="K28" s="151"/>
      <c r="L28" s="151"/>
    </row>
    <row r="29" ht="7.5" customHeight="1"/>
    <row r="30" ht="21.75" customHeight="1">
      <c r="A30" s="153" t="s">
        <v>274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1"/>
    </row>
    <row r="31" ht="30.0" customHeight="1">
      <c r="A31" s="148" t="s">
        <v>251</v>
      </c>
      <c r="B31" s="149"/>
      <c r="C31" s="150" t="s">
        <v>275</v>
      </c>
      <c r="D31" s="151"/>
      <c r="E31" s="151"/>
      <c r="F31" s="151"/>
      <c r="G31" s="151"/>
      <c r="H31" s="151"/>
      <c r="I31" s="151"/>
      <c r="J31" s="151"/>
      <c r="K31" s="151"/>
      <c r="L31" s="151"/>
    </row>
    <row r="32" ht="30.0" customHeight="1">
      <c r="A32" s="148" t="s">
        <v>253</v>
      </c>
      <c r="B32" s="149"/>
      <c r="C32" s="150" t="s">
        <v>276</v>
      </c>
      <c r="D32" s="151"/>
      <c r="E32" s="151"/>
      <c r="F32" s="151"/>
      <c r="G32" s="151"/>
      <c r="H32" s="151"/>
      <c r="I32" s="151"/>
      <c r="J32" s="151"/>
      <c r="K32" s="151"/>
      <c r="L32" s="151"/>
    </row>
    <row r="33" ht="30.0" customHeight="1">
      <c r="A33" s="148" t="s">
        <v>255</v>
      </c>
      <c r="B33" s="149"/>
      <c r="C33" s="150" t="s">
        <v>277</v>
      </c>
      <c r="D33" s="151"/>
      <c r="E33" s="151"/>
      <c r="F33" s="151"/>
      <c r="G33" s="151"/>
      <c r="H33" s="151"/>
      <c r="I33" s="151"/>
      <c r="J33" s="151"/>
      <c r="K33" s="151"/>
      <c r="L33" s="151"/>
    </row>
    <row r="34" ht="30.0" customHeight="1">
      <c r="A34" s="148" t="s">
        <v>257</v>
      </c>
      <c r="B34" s="149"/>
      <c r="C34" s="150" t="s">
        <v>278</v>
      </c>
      <c r="D34" s="151"/>
      <c r="E34" s="151"/>
      <c r="F34" s="151"/>
      <c r="G34" s="151"/>
      <c r="H34" s="151"/>
      <c r="I34" s="151"/>
      <c r="J34" s="151"/>
      <c r="K34" s="151"/>
      <c r="L34" s="151"/>
    </row>
    <row r="35" ht="7.5" customHeight="1"/>
    <row r="36" ht="21.75" customHeight="1">
      <c r="A36" s="153" t="s">
        <v>279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1"/>
    </row>
    <row r="37" ht="30.0" customHeight="1">
      <c r="A37" s="148" t="s">
        <v>251</v>
      </c>
      <c r="B37" s="149"/>
      <c r="C37" s="150" t="s">
        <v>280</v>
      </c>
      <c r="D37" s="151"/>
      <c r="E37" s="151"/>
      <c r="F37" s="151"/>
      <c r="G37" s="151"/>
      <c r="H37" s="151"/>
      <c r="I37" s="151"/>
      <c r="J37" s="151"/>
      <c r="K37" s="151"/>
      <c r="L37" s="151"/>
    </row>
    <row r="38" ht="30.0" customHeight="1">
      <c r="A38" s="148" t="s">
        <v>253</v>
      </c>
      <c r="B38" s="149"/>
      <c r="C38" s="150" t="s">
        <v>281</v>
      </c>
      <c r="D38" s="151"/>
      <c r="E38" s="151"/>
      <c r="F38" s="151"/>
      <c r="G38" s="151"/>
      <c r="H38" s="151"/>
      <c r="I38" s="151"/>
      <c r="J38" s="151"/>
      <c r="K38" s="151"/>
      <c r="L38" s="151"/>
    </row>
    <row r="39" ht="30.0" customHeight="1">
      <c r="A39" s="148" t="s">
        <v>255</v>
      </c>
      <c r="B39" s="149"/>
      <c r="C39" s="150" t="s">
        <v>282</v>
      </c>
      <c r="D39" s="151"/>
      <c r="E39" s="151"/>
      <c r="F39" s="151"/>
      <c r="G39" s="151"/>
      <c r="H39" s="151"/>
      <c r="I39" s="151"/>
      <c r="J39" s="151"/>
      <c r="K39" s="151"/>
      <c r="L39" s="151"/>
    </row>
    <row r="40" ht="30.0" customHeight="1">
      <c r="A40" s="148" t="s">
        <v>257</v>
      </c>
      <c r="B40" s="149"/>
      <c r="C40" s="150" t="s">
        <v>283</v>
      </c>
      <c r="D40" s="151"/>
      <c r="E40" s="151"/>
      <c r="F40" s="151"/>
      <c r="G40" s="151"/>
      <c r="H40" s="151"/>
      <c r="I40" s="151"/>
      <c r="J40" s="151"/>
      <c r="K40" s="151"/>
      <c r="L40" s="151"/>
    </row>
    <row r="41" ht="7.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5">
    <mergeCell ref="A1:M4"/>
    <mergeCell ref="A6:L6"/>
    <mergeCell ref="A7:B7"/>
    <mergeCell ref="C7:L7"/>
    <mergeCell ref="A8:B8"/>
    <mergeCell ref="C8:L8"/>
    <mergeCell ref="C9:L9"/>
    <mergeCell ref="C10:L10"/>
    <mergeCell ref="A12:L12"/>
    <mergeCell ref="C13:L13"/>
    <mergeCell ref="C14:L14"/>
    <mergeCell ref="C15:L15"/>
    <mergeCell ref="C16:L16"/>
    <mergeCell ref="A18:L18"/>
    <mergeCell ref="A9:B9"/>
    <mergeCell ref="A10:B10"/>
    <mergeCell ref="A13:B13"/>
    <mergeCell ref="A14:B14"/>
    <mergeCell ref="A15:B15"/>
    <mergeCell ref="A16:B16"/>
    <mergeCell ref="A19:B19"/>
    <mergeCell ref="C19:L19"/>
    <mergeCell ref="C20:L20"/>
    <mergeCell ref="C21:L21"/>
    <mergeCell ref="C22:L22"/>
    <mergeCell ref="A24:L24"/>
    <mergeCell ref="C25:L25"/>
    <mergeCell ref="C26:L26"/>
    <mergeCell ref="A31:B31"/>
    <mergeCell ref="A32:B32"/>
    <mergeCell ref="A33:B33"/>
    <mergeCell ref="A34:B34"/>
    <mergeCell ref="A37:B37"/>
    <mergeCell ref="A38:B38"/>
    <mergeCell ref="A39:B39"/>
    <mergeCell ref="A40:B40"/>
    <mergeCell ref="A20:B20"/>
    <mergeCell ref="A21:B21"/>
    <mergeCell ref="A22:B22"/>
    <mergeCell ref="A25:B25"/>
    <mergeCell ref="A26:B26"/>
    <mergeCell ref="A27:B27"/>
    <mergeCell ref="A28:B28"/>
    <mergeCell ref="A36:L36"/>
    <mergeCell ref="C37:L37"/>
    <mergeCell ref="C38:L38"/>
    <mergeCell ref="C39:L39"/>
    <mergeCell ref="C40:L40"/>
    <mergeCell ref="C27:L27"/>
    <mergeCell ref="C28:L28"/>
    <mergeCell ref="A30:L30"/>
    <mergeCell ref="C31:L31"/>
    <mergeCell ref="C32:L32"/>
    <mergeCell ref="C33:L33"/>
    <mergeCell ref="C34:L34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4C3C"/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2" width="10.0"/>
    <col customWidth="1" min="3" max="3" width="8.0"/>
    <col customWidth="1" min="4" max="4" width="18.0"/>
    <col customWidth="1" min="5" max="5" width="10.0"/>
    <col customWidth="1" min="6" max="6" width="14.0"/>
    <col customWidth="1" min="7" max="7" width="12.0"/>
    <col customWidth="1" min="8" max="8" width="28.0"/>
    <col customWidth="1" min="9" max="26" width="8.71"/>
  </cols>
  <sheetData>
    <row r="1">
      <c r="A1" s="154" t="s">
        <v>284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/>
      <c r="M2" s="5"/>
    </row>
    <row r="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8"/>
    </row>
    <row r="5">
      <c r="A5" s="24" t="s">
        <v>285</v>
      </c>
      <c r="B5" s="25"/>
      <c r="C5" s="25"/>
      <c r="D5" s="25"/>
      <c r="E5" s="25"/>
      <c r="F5" s="25"/>
      <c r="G5" s="25"/>
      <c r="H5" s="25"/>
    </row>
    <row r="6" ht="24.0" customHeight="1">
      <c r="A6" s="102" t="s">
        <v>286</v>
      </c>
      <c r="B6" s="102" t="s">
        <v>287</v>
      </c>
      <c r="C6" s="102" t="s">
        <v>288</v>
      </c>
      <c r="D6" s="102" t="s">
        <v>289</v>
      </c>
      <c r="E6" s="102" t="s">
        <v>290</v>
      </c>
      <c r="F6" s="102" t="s">
        <v>291</v>
      </c>
      <c r="G6" s="102" t="s">
        <v>292</v>
      </c>
      <c r="H6" s="102" t="s">
        <v>293</v>
      </c>
    </row>
    <row r="7">
      <c r="A7" s="143" t="s">
        <v>294</v>
      </c>
      <c r="B7" s="143">
        <v>5.0</v>
      </c>
      <c r="C7" s="144">
        <v>299.0</v>
      </c>
      <c r="D7" s="143">
        <v>13.4</v>
      </c>
      <c r="E7" s="144">
        <v>4007.0</v>
      </c>
      <c r="F7" s="144">
        <v>3588.0</v>
      </c>
      <c r="G7" s="118">
        <v>10.0</v>
      </c>
      <c r="H7" s="143" t="s">
        <v>295</v>
      </c>
    </row>
    <row r="8">
      <c r="A8" s="30" t="s">
        <v>296</v>
      </c>
      <c r="B8" s="30">
        <v>13.0</v>
      </c>
      <c r="C8" s="31">
        <v>149.0</v>
      </c>
      <c r="D8" s="30">
        <v>9.8</v>
      </c>
      <c r="E8" s="31">
        <v>1460.0</v>
      </c>
      <c r="F8" s="31">
        <v>1788.0</v>
      </c>
      <c r="G8" s="108">
        <v>18.2</v>
      </c>
      <c r="H8" s="30" t="s">
        <v>297</v>
      </c>
    </row>
    <row r="9">
      <c r="A9" s="27" t="s">
        <v>298</v>
      </c>
      <c r="B9" s="27">
        <v>8.0</v>
      </c>
      <c r="C9" s="28">
        <v>49.0</v>
      </c>
      <c r="D9" s="27">
        <v>7.2</v>
      </c>
      <c r="E9" s="28">
        <v>353.0</v>
      </c>
      <c r="F9" s="28">
        <v>588.0</v>
      </c>
      <c r="G9" s="126">
        <v>25.0</v>
      </c>
      <c r="H9" s="27" t="s">
        <v>299</v>
      </c>
    </row>
    <row r="10">
      <c r="A10" s="30" t="s">
        <v>300</v>
      </c>
      <c r="B10" s="30">
        <v>4.0</v>
      </c>
      <c r="C10" s="31">
        <v>0.0</v>
      </c>
      <c r="D10" s="30">
        <v>4.5</v>
      </c>
      <c r="E10" s="31">
        <v>0.0</v>
      </c>
      <c r="F10" s="31">
        <v>0.0</v>
      </c>
      <c r="G10" s="108">
        <v>50.0</v>
      </c>
      <c r="H10" s="30" t="s">
        <v>301</v>
      </c>
    </row>
    <row r="11" ht="9.75" customHeight="1"/>
    <row r="12">
      <c r="A12" s="24" t="s">
        <v>302</v>
      </c>
      <c r="B12" s="25"/>
      <c r="C12" s="25"/>
      <c r="D12" s="25"/>
      <c r="E12" s="25"/>
      <c r="F12" s="25"/>
      <c r="G12" s="25"/>
      <c r="H12" s="25"/>
    </row>
    <row r="13" ht="27.75" customHeight="1">
      <c r="A13" s="102" t="s">
        <v>52</v>
      </c>
      <c r="B13" s="102" t="s">
        <v>303</v>
      </c>
      <c r="C13" s="102" t="s">
        <v>304</v>
      </c>
      <c r="D13" s="102" t="s">
        <v>305</v>
      </c>
      <c r="E13" s="102" t="s">
        <v>306</v>
      </c>
      <c r="F13" s="102" t="s">
        <v>307</v>
      </c>
      <c r="G13" s="102" t="s">
        <v>308</v>
      </c>
      <c r="H13" s="102" t="s">
        <v>309</v>
      </c>
    </row>
    <row r="14">
      <c r="A14" s="155" t="s">
        <v>87</v>
      </c>
      <c r="B14" s="156" t="s">
        <v>300</v>
      </c>
      <c r="C14" s="157">
        <v>0.0</v>
      </c>
      <c r="D14" s="156">
        <v>320.0</v>
      </c>
      <c r="E14" s="156" t="s">
        <v>310</v>
      </c>
      <c r="F14" s="156">
        <v>1.0</v>
      </c>
      <c r="G14" s="156" t="s">
        <v>311</v>
      </c>
      <c r="H14" s="155" t="s">
        <v>312</v>
      </c>
    </row>
    <row r="15">
      <c r="A15" s="155" t="s">
        <v>104</v>
      </c>
      <c r="B15" s="156" t="s">
        <v>298</v>
      </c>
      <c r="C15" s="157">
        <v>49.0</v>
      </c>
      <c r="D15" s="156">
        <v>238.0</v>
      </c>
      <c r="E15" s="156" t="s">
        <v>310</v>
      </c>
      <c r="F15" s="156">
        <v>1.0</v>
      </c>
      <c r="G15" s="156" t="s">
        <v>311</v>
      </c>
      <c r="H15" s="155" t="s">
        <v>313</v>
      </c>
    </row>
    <row r="16">
      <c r="A16" s="158" t="s">
        <v>114</v>
      </c>
      <c r="B16" s="159" t="s">
        <v>298</v>
      </c>
      <c r="C16" s="160">
        <v>49.0</v>
      </c>
      <c r="D16" s="159">
        <v>196.0</v>
      </c>
      <c r="E16" s="159" t="s">
        <v>314</v>
      </c>
      <c r="F16" s="159">
        <v>1.0</v>
      </c>
      <c r="G16" s="159" t="s">
        <v>315</v>
      </c>
      <c r="H16" s="158" t="s">
        <v>316</v>
      </c>
    </row>
    <row r="17">
      <c r="A17" s="158" t="s">
        <v>118</v>
      </c>
      <c r="B17" s="159" t="s">
        <v>298</v>
      </c>
      <c r="C17" s="160">
        <v>49.0</v>
      </c>
      <c r="D17" s="159">
        <v>156.0</v>
      </c>
      <c r="E17" s="159" t="s">
        <v>314</v>
      </c>
      <c r="F17" s="159">
        <v>1.0</v>
      </c>
      <c r="G17" s="159" t="s">
        <v>315</v>
      </c>
      <c r="H17" s="158" t="s">
        <v>317</v>
      </c>
    </row>
    <row r="18">
      <c r="A18" s="158" t="s">
        <v>116</v>
      </c>
      <c r="B18" s="159" t="s">
        <v>296</v>
      </c>
      <c r="C18" s="160">
        <v>149.0</v>
      </c>
      <c r="D18" s="159">
        <v>151.0</v>
      </c>
      <c r="E18" s="159" t="s">
        <v>314</v>
      </c>
      <c r="F18" s="159">
        <v>1.0</v>
      </c>
      <c r="G18" s="159" t="s">
        <v>315</v>
      </c>
      <c r="H18" s="158" t="s">
        <v>318</v>
      </c>
    </row>
    <row r="19">
      <c r="A19" s="158" t="s">
        <v>124</v>
      </c>
      <c r="B19" s="159" t="s">
        <v>298</v>
      </c>
      <c r="C19" s="160">
        <v>49.0</v>
      </c>
      <c r="D19" s="159">
        <v>117.0</v>
      </c>
      <c r="E19" s="159" t="s">
        <v>314</v>
      </c>
      <c r="F19" s="159">
        <v>1.0</v>
      </c>
      <c r="G19" s="159" t="s">
        <v>315</v>
      </c>
      <c r="H19" s="158" t="s">
        <v>319</v>
      </c>
    </row>
    <row r="20">
      <c r="A20" s="158" t="s">
        <v>122</v>
      </c>
      <c r="B20" s="159" t="s">
        <v>296</v>
      </c>
      <c r="C20" s="160">
        <v>149.0</v>
      </c>
      <c r="D20" s="159">
        <v>110.0</v>
      </c>
      <c r="E20" s="159" t="s">
        <v>314</v>
      </c>
      <c r="F20" s="159">
        <v>1.0</v>
      </c>
      <c r="G20" s="159" t="s">
        <v>315</v>
      </c>
      <c r="H20" s="158" t="s">
        <v>320</v>
      </c>
    </row>
    <row r="21" ht="15.75" customHeight="1">
      <c r="A21" s="158" t="s">
        <v>110</v>
      </c>
      <c r="B21" s="159" t="s">
        <v>296</v>
      </c>
      <c r="C21" s="160">
        <v>149.0</v>
      </c>
      <c r="D21" s="159">
        <v>107.0</v>
      </c>
      <c r="E21" s="159" t="s">
        <v>314</v>
      </c>
      <c r="F21" s="159">
        <v>1.0</v>
      </c>
      <c r="G21" s="159" t="s">
        <v>315</v>
      </c>
      <c r="H21" s="158" t="s">
        <v>321</v>
      </c>
    </row>
    <row r="22" ht="15.75" customHeight="1">
      <c r="A22" s="158" t="s">
        <v>322</v>
      </c>
      <c r="B22" s="159" t="s">
        <v>300</v>
      </c>
      <c r="C22" s="160">
        <v>0.0</v>
      </c>
      <c r="D22" s="159">
        <v>100.0</v>
      </c>
      <c r="E22" s="159" t="s">
        <v>310</v>
      </c>
      <c r="F22" s="159">
        <v>1.0</v>
      </c>
      <c r="G22" s="159" t="s">
        <v>315</v>
      </c>
      <c r="H22" s="158" t="s">
        <v>323</v>
      </c>
    </row>
    <row r="23" ht="15.75" customHeight="1">
      <c r="A23" s="145" t="s">
        <v>94</v>
      </c>
      <c r="B23" s="161" t="s">
        <v>296</v>
      </c>
      <c r="C23" s="162">
        <v>149.0</v>
      </c>
      <c r="D23" s="161">
        <v>80.0</v>
      </c>
      <c r="E23" s="161" t="s">
        <v>314</v>
      </c>
      <c r="F23" s="161">
        <v>1.0</v>
      </c>
      <c r="G23" s="161" t="s">
        <v>324</v>
      </c>
      <c r="H23" s="145" t="s">
        <v>325</v>
      </c>
    </row>
    <row r="24" ht="15.75" customHeight="1">
      <c r="A24" s="145" t="s">
        <v>90</v>
      </c>
      <c r="B24" s="161" t="s">
        <v>294</v>
      </c>
      <c r="C24" s="162">
        <v>299.0</v>
      </c>
      <c r="D24" s="161">
        <v>5.0</v>
      </c>
      <c r="E24" s="161" t="s">
        <v>314</v>
      </c>
      <c r="F24" s="161">
        <v>3.0</v>
      </c>
      <c r="G24" s="161" t="s">
        <v>324</v>
      </c>
      <c r="H24" s="145" t="s">
        <v>326</v>
      </c>
    </row>
    <row r="25" ht="15.75" customHeight="1">
      <c r="A25" s="145" t="s">
        <v>101</v>
      </c>
      <c r="B25" s="161" t="s">
        <v>294</v>
      </c>
      <c r="C25" s="162">
        <v>299.0</v>
      </c>
      <c r="D25" s="161">
        <v>8.0</v>
      </c>
      <c r="E25" s="161" t="s">
        <v>314</v>
      </c>
      <c r="F25" s="161">
        <v>2.0</v>
      </c>
      <c r="G25" s="161" t="s">
        <v>324</v>
      </c>
      <c r="H25" s="145" t="s">
        <v>327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3"/>
  </mergeCells>
  <printOptions/>
  <pageMargins bottom="1.0" footer="0.0" header="0.0" left="0.75" right="0.75" top="1.0"/>
  <pageSetup paperSize="9" orientation="portrait"/>
  <drawing r:id="rId1"/>
</worksheet>
</file>